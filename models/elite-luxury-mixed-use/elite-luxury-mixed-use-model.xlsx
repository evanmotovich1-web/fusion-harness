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SOFR" sheetId="3" state="visible" r:id="rId3"/>
    <sheet name="SourcesUses" sheetId="4" state="visible" r:id="rId4"/>
    <sheet name="SpendCurve" sheetId="5" state="visible" r:id="rId5"/>
    <sheet name="CondoSellout" sheetId="6" state="visible" r:id="rId6"/>
    <sheet name="RetailProForma" sheetId="7" state="visible" r:id="rId7"/>
    <sheet name="HotelProForma" sheetId="8" state="visible" r:id="rId8"/>
    <sheet name="ConstructionDebt" sheetId="9" state="visible" r:id="rId9"/>
    <sheet name="PermanentDebt" sheetId="10" state="visible" r:id="rId10"/>
    <sheet name="HotelValuation" sheetId="11" state="visible" r:id="rId11"/>
    <sheet name="RetailValuation" sheetId="12" state="visible" r:id="rId12"/>
    <sheet name="ProjectCF" sheetId="13" state="visible" r:id="rId13"/>
    <sheet name="Waterfall" sheetId="14" state="visible" r:id="rId14"/>
    <sheet name="Returns" sheetId="15" state="visible" r:id="rId15"/>
    <sheet name="Checks" sheetId="16" state="visible" r:id="rId16"/>
  </sheets>
  <definedNames>
    <definedName name="CONSTR_MONTHS">Assumptions!$C$4</definedName>
    <definedName name="RETAIL_OPEN_M">Assumptions!$C$5</definedName>
    <definedName name="HOTEL_OPEN_M">Assumptions!$C$6</definedName>
    <definedName name="FIRST_CLOSING_M">Assumptions!$C$7</definedName>
    <definedName name="CLOSINGS_SPAN_M">Assumptions!$C$8</definedName>
    <definedName name="PERM_CONV_M">Assumptions!$C$9</definedName>
    <definedName name="EXIT_M">Assumptions!$C$10</definedName>
    <definedName name="UNITS_STUDIO">Assumptions!$C$13</definedName>
    <definedName name="SQFT_STUDIO">Assumptions!$C$14</definedName>
    <definedName name="PPSF_STUDIO">Assumptions!$C$15</definedName>
    <definedName name="UNITS_1BR">Assumptions!$C$16</definedName>
    <definedName name="SQFT_1BR">Assumptions!$C$17</definedName>
    <definedName name="PPSF_1BR">Assumptions!$C$18</definedName>
    <definedName name="UNITS_2BR">Assumptions!$C$19</definedName>
    <definedName name="SQFT_2BR">Assumptions!$C$20</definedName>
    <definedName name="PPSF_2BR">Assumptions!$C$21</definedName>
    <definedName name="UNITS_3BR">Assumptions!$C$22</definedName>
    <definedName name="SQFT_3BR">Assumptions!$C$23</definedName>
    <definedName name="PPSF_3BR">Assumptions!$C$24</definedName>
    <definedName name="UNITS_PH">Assumptions!$C$25</definedName>
    <definedName name="SQFT_PH">Assumptions!$C$26</definedName>
    <definedName name="PPSF_PH">Assumptions!$C$27</definedName>
    <definedName name="PARKING_SPACES">Assumptions!$C$28</definedName>
    <definedName name="PARKING_PRICE">Assumptions!$C$29</definedName>
    <definedName name="STORAGE_UNITS">Assumptions!$C$30</definedName>
    <definedName name="STORAGE_PRICE">Assumptions!$C$31</definedName>
    <definedName name="CLOSING_COST_PCT">Assumptions!$C$32</definedName>
    <definedName name="MARKETING_PCT">Assumptions!$C$33</definedName>
    <definedName name="LAND_COST">Assumptions!$C$36</definedName>
    <definedName name="ACQ_COST_PCT">Assumptions!$C$37</definedName>
    <definedName name="RES_GSF">Assumptions!$C$38</definedName>
    <definedName name="HOTEL_GSF">Assumptions!$C$39</definedName>
    <definedName name="RETAIL_GSF">Assumptions!$C$40</definedName>
    <definedName name="HC_PSF_RES">Assumptions!$C$41</definedName>
    <definedName name="HC_PSF_HOTEL">Assumptions!$C$42</definedName>
    <definedName name="HC_PSF_RETAIL">Assumptions!$C$43</definedName>
    <definedName name="CONTINGENCY_PCT">Assumptions!$C$44</definedName>
    <definedName name="SOFTCOST_PCT">Assumptions!$C$45</definedName>
    <definedName name="HOTEL_KEYS">Assumptions!$C$46</definedName>
    <definedName name="FFE_PER_KEY">Assumptions!$C$47</definedName>
    <definedName name="FFE_PSF_RETAIL">Assumptions!$C$48</definedName>
    <definedName name="DEVFEE_PCT">Assumptions!$C$49</definedName>
    <definedName name="LTC_PCT">Assumptions!$C$52</definedName>
    <definedName name="CT_SPREAD_PCT">Assumptions!$C$53</definedName>
    <definedName name="SOFR_FLOOR_PCT">Assumptions!$C$54</definedName>
    <definedName name="AVG_DRAWN_FRAC">Assumptions!$C$55</definedName>
    <definedName name="CT_COSTS_PCT">Assumptions!$C$56</definedName>
    <definedName name="PERM_LTV">Assumptions!$C$59</definedName>
    <definedName name="PERM_DSCR">Assumptions!$C$60</definedName>
    <definedName name="PERM_DY">Assumptions!$C$61</definedName>
    <definedName name="PERM_RATE_PCT">Assumptions!$C$62</definedName>
    <definedName name="PERM_AMORT_YRS">Assumptions!$C$63</definedName>
    <definedName name="PERM_COSTS_PCT">Assumptions!$C$64</definedName>
    <definedName name="ADR_Y1">Assumptions!$C$67</definedName>
    <definedName name="ADR_GROWTH_PCT">Assumptions!$C$68</definedName>
    <definedName name="OCC_Y1">Assumptions!$C$69</definedName>
    <definedName name="OCC_Y2">Assumptions!$C$70</definedName>
    <definedName name="OCC_STAB">Assumptions!$C$71</definedName>
    <definedName name="FB_REV_PCT">Assumptions!$C$72</definedName>
    <definedName name="OTHER_REV_PCT">Assumptions!$C$73</definedName>
    <definedName name="HOTEL_UNDIST_PCT">Assumptions!$C$74</definedName>
    <definedName name="HOTEL_MGMT_PCT">Assumptions!$C$75</definedName>
    <definedName name="REPL_RESERVE_PCT">Assumptions!$C$76</definedName>
    <definedName name="HOTEL_CAP">Assumptions!$C$77</definedName>
    <definedName name="RETAIL_BASE_PSF">Assumptions!$C$80</definedName>
    <definedName name="RETAIL_ESC_PCT">Assumptions!$C$81</definedName>
    <definedName name="RETAIL_RECOV_PSF">Assumptions!$C$82</definedName>
    <definedName name="RETAIL_RECOV_RATIO">Assumptions!$C$83</definedName>
    <definedName name="RETAIL_VAC_PCT">Assumptions!$C$84</definedName>
    <definedName name="RETAIL_OP_PSF">Assumptions!$C$85</definedName>
    <definedName name="RETAIL_MGMT_PCT">Assumptions!$C$86</definedName>
    <definedName name="RETAIL_CAP">Assumptions!$C$87</definedName>
    <definedName name="SELL_COST_PCT">Assumptions!$C$90</definedName>
    <definedName name="GP_EQUITY_PCT">Assumptions!$C$91</definedName>
    <definedName name="PREF_PCT">Assumptions!$C$92</definedName>
    <definedName name="CATCHUP_PCT">Assumptions!$C$93</definedName>
    <definedName name="T3_ACCRUAL_PCT">Assumptions!$C$94</definedName>
    <definedName name="T3_LP_SPLIT">Assumptions!$C$95</definedName>
    <definedName name="T4_LP_SPLIT">Assumptions!$C$96</definedName>
    <definedName name="_xlnm._FilterDatabase" localSheetId="1" hidden="1">'Assumptions'!$A$2:$D$97</definedName>
    <definedName name="_xlnm._FilterDatabase" localSheetId="2" hidden="1">'SOFR'!$A$2:$D$86</definedName>
    <definedName name="_xlnm._FilterDatabase" localSheetId="4" hidden="1">'SpendCurve'!$A$2:$CH$2</definedName>
    <definedName name="_xlnm.Print_Titles" localSheetId="4">'SpendCurve'!$1:$3,'SpendCurve'!$A:$B</definedName>
    <definedName name="_xlnm._FilterDatabase" localSheetId="5" hidden="1">'CondoSellout'!$A$2:$CH$2</definedName>
    <definedName name="_xlnm.Print_Titles" localSheetId="5">'CondoSellout'!$1:$3,'CondoSellout'!$A:$B</definedName>
    <definedName name="_xlnm._FilterDatabase" localSheetId="6" hidden="1">'RetailProForma'!$A$2:$CH$2</definedName>
    <definedName name="_xlnm.Print_Titles" localSheetId="6">'RetailProForma'!$1:$3,'RetailProForma'!$A:$B</definedName>
    <definedName name="_xlnm._FilterDatabase" localSheetId="7" hidden="1">'HotelProForma'!$A$2:$CH$2</definedName>
    <definedName name="_xlnm.Print_Titles" localSheetId="7">'HotelProForma'!$1:$3,'HotelProForma'!$A:$B</definedName>
    <definedName name="_xlnm._FilterDatabase" localSheetId="8" hidden="1">'ConstructionDebt'!$A$2:$CH$2</definedName>
    <definedName name="_xlnm.Print_Titles" localSheetId="8">'ConstructionDebt'!$1:$3,'ConstructionDebt'!$A:$B</definedName>
    <definedName name="_xlnm._FilterDatabase" localSheetId="9" hidden="1">'PermanentDebt'!$A$2:$CH$2</definedName>
    <definedName name="_xlnm.Print_Titles" localSheetId="9">'PermanentDebt'!$1:$3,'PermanentDebt'!$A:$B</definedName>
    <definedName name="_xlnm._FilterDatabase" localSheetId="10" hidden="1">'HotelValuation'!$A$2:$CH$2</definedName>
    <definedName name="_xlnm.Print_Titles" localSheetId="10">'HotelValuation'!$1:$3,'HotelValuation'!$A:$B</definedName>
    <definedName name="_xlnm._FilterDatabase" localSheetId="11" hidden="1">'RetailValuation'!$A$2:$CH$2</definedName>
    <definedName name="_xlnm.Print_Titles" localSheetId="11">'RetailValuation'!$1:$3,'RetailValuation'!$A:$B</definedName>
    <definedName name="_xlnm._FilterDatabase" localSheetId="12" hidden="1">'ProjectCF'!$A$2:$CH$2</definedName>
    <definedName name="_xlnm.Print_Titles" localSheetId="12">'ProjectCF'!$1:$3,'ProjectCF'!$A:$B</definedName>
    <definedName name="_xlnm._FilterDatabase" localSheetId="13" hidden="1">'Waterfall'!$A$2:$CH$2</definedName>
    <definedName name="_xlnm.Print_Titles" localSheetId="13">'Waterfall'!$1:$3,'Waterfall'!$A:$B</definedName>
    <definedName name="_xlnm._FilterDatabase" localSheetId="14" hidden="1">'Returns'!$A$2:$CH$2</definedName>
    <definedName name="_xlnm.Print_Titles" localSheetId="14">'Returns'!$1:$3,'Returns'!$A:$B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MMM-YYYY"/>
  </numFmts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</font>
    <font>
      <name val="Calibri"/>
      <color rgb="00000000"/>
    </font>
    <font>
      <name val="Calibri"/>
      <color rgb="000000FF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1" fontId="4" fillId="2" borderId="0" pivotButton="0" quotePrefix="0" xfId="0"/>
    <xf numFmtId="3" fontId="4" fillId="2" borderId="0" pivotButton="0" quotePrefix="0" xfId="0"/>
    <xf numFmtId="164" fontId="4" fillId="2" borderId="0" pivotButton="0" quotePrefix="0" xfId="0"/>
    <xf numFmtId="10" fontId="4" fillId="2" borderId="0" pivotButton="0" quotePrefix="0" xfId="0"/>
    <xf numFmtId="2" fontId="4" fillId="2" borderId="0" pivotButton="0" quotePrefix="0" xfId="0"/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  <xf numFmtId="2" fontId="3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B25"/>
  <sheetViews>
    <sheetView view="pageBreakPreview" zoomScale="120" workbookViewId="0">
      <selection activeCell="A1" sqref="A1"/>
    </sheetView>
  </sheetViews>
  <sheetFormatPr baseColWidth="8" defaultRowHeight="15"/>
  <cols>
    <col width="120" customWidth="1" min="1" max="1"/>
    <col width="22" customWidth="1" min="2" max="2"/>
  </cols>
  <sheetData>
    <row r="1" ht="22" customHeight="1">
      <c r="A1" s="1" t="inlineStr">
        <is>
          <t>Elite Luxury Mixed-Use Development Model</t>
        </is>
      </c>
    </row>
    <row r="3" ht="48" customHeight="1">
      <c r="A3" s="2" t="inlineStr">
        <is>
          <t>ILLUSTRATIVE TEMPLATE — NOT A LIVE DEAL, NOT AN OFFERING, NOT INVESTMENT ADVICE. The SOFR forward curve is a placeholder assumption, not a live Chatham quote; paste live forwards into the SOFR sheet. All figures are illustrative defaults.</t>
        </is>
      </c>
    </row>
    <row r="5">
      <c r="A5" s="3" t="inlineStr">
        <is>
          <t>Sheets</t>
        </is>
      </c>
    </row>
    <row r="6">
      <c r="A6" s="4" t="inlineStr">
        <is>
          <t>Cover</t>
        </is>
      </c>
      <c r="B6" s="4" t="inlineStr">
        <is>
          <t>formula</t>
        </is>
      </c>
    </row>
    <row r="7">
      <c r="A7" s="4" t="inlineStr">
        <is>
          <t>Assumptions</t>
        </is>
      </c>
      <c r="B7" s="4" t="inlineStr">
        <is>
          <t>input</t>
        </is>
      </c>
    </row>
    <row r="8">
      <c r="A8" s="4" t="inlineStr">
        <is>
          <t>SOFR</t>
        </is>
      </c>
      <c r="B8" s="4" t="inlineStr">
        <is>
          <t>input</t>
        </is>
      </c>
    </row>
    <row r="9">
      <c r="A9" s="4" t="inlineStr">
        <is>
          <t>SourcesUses</t>
        </is>
      </c>
      <c r="B9" s="4" t="inlineStr">
        <is>
          <t>formula</t>
        </is>
      </c>
    </row>
    <row r="10">
      <c r="A10" s="4" t="inlineStr">
        <is>
          <t>SpendCurve</t>
        </is>
      </c>
      <c r="B10" s="4" t="inlineStr">
        <is>
          <t>formula</t>
        </is>
      </c>
    </row>
    <row r="11">
      <c r="A11" s="4" t="inlineStr">
        <is>
          <t>CondoSellout</t>
        </is>
      </c>
      <c r="B11" s="4" t="inlineStr">
        <is>
          <t>formula</t>
        </is>
      </c>
    </row>
    <row r="12">
      <c r="A12" s="4" t="inlineStr">
        <is>
          <t>RetailProForma</t>
        </is>
      </c>
      <c r="B12" s="4" t="inlineStr">
        <is>
          <t>formula</t>
        </is>
      </c>
    </row>
    <row r="13">
      <c r="A13" s="4" t="inlineStr">
        <is>
          <t>HotelProForma</t>
        </is>
      </c>
      <c r="B13" s="4" t="inlineStr">
        <is>
          <t>formula</t>
        </is>
      </c>
    </row>
    <row r="14">
      <c r="A14" s="4" t="inlineStr">
        <is>
          <t>ConstructionDebt</t>
        </is>
      </c>
      <c r="B14" s="4" t="inlineStr">
        <is>
          <t>formula</t>
        </is>
      </c>
    </row>
    <row r="15">
      <c r="A15" s="4" t="inlineStr">
        <is>
          <t>PermanentDebt</t>
        </is>
      </c>
      <c r="B15" s="4" t="inlineStr">
        <is>
          <t>formula</t>
        </is>
      </c>
    </row>
    <row r="16">
      <c r="A16" s="4" t="inlineStr">
        <is>
          <t>HotelValuation</t>
        </is>
      </c>
      <c r="B16" s="4" t="inlineStr">
        <is>
          <t>formula</t>
        </is>
      </c>
    </row>
    <row r="17">
      <c r="A17" s="4" t="inlineStr">
        <is>
          <t>RetailValuation</t>
        </is>
      </c>
      <c r="B17" s="4" t="inlineStr">
        <is>
          <t>formula</t>
        </is>
      </c>
    </row>
    <row r="18">
      <c r="A18" s="4" t="inlineStr">
        <is>
          <t>ProjectCF</t>
        </is>
      </c>
      <c r="B18" s="4" t="inlineStr">
        <is>
          <t>formula</t>
        </is>
      </c>
    </row>
    <row r="19">
      <c r="A19" s="4" t="inlineStr">
        <is>
          <t>Waterfall</t>
        </is>
      </c>
      <c r="B19" s="4" t="inlineStr">
        <is>
          <t>formula</t>
        </is>
      </c>
    </row>
    <row r="20">
      <c r="A20" s="4" t="inlineStr">
        <is>
          <t>Returns</t>
        </is>
      </c>
      <c r="B20" s="4" t="inlineStr">
        <is>
          <t>formula</t>
        </is>
      </c>
    </row>
    <row r="21">
      <c r="A21" s="4" t="inlineStr">
        <is>
          <t>Checks</t>
        </is>
      </c>
      <c r="B21" s="4" t="inlineStr">
        <is>
          <t>formula</t>
        </is>
      </c>
    </row>
    <row r="23">
      <c r="A23" t="inlineStr">
        <is>
          <t>Blue font marks an input. Every other amount is an Excel formula.</t>
        </is>
      </c>
    </row>
    <row r="24">
      <c r="A24" t="inlineStr">
        <is>
          <t>Condo economics are sellout revenue net of costs. No cap rate is applied to condos.</t>
        </is>
      </c>
    </row>
    <row r="25">
      <c r="A25" t="inlineStr">
        <is>
          <t>XIRR on Returns is an output. It is not a waterfall distribution trigger.</t>
        </is>
      </c>
    </row>
  </sheetData>
  <pageMargins left="0.4" right="0.4" top="0.6" bottom="0.5" header="0.25" footer="0.25"/>
  <pageSetup orientation="landscape" paperSize="3" fitToHeight="0" fitToWidth="1"/>
  <headerFooter>
    <oddHeader>&amp;LElite Luxury Mixed-Use  |  Illustrative template</oddHeader>
    <oddFooter>&amp;LNot a live deal  |  Not an offering  |  Not investment advice&amp;RPage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96"/>
  <sheetViews>
    <sheetView view="pageBreakPreview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78" customWidth="1" min="4" max="4"/>
  </cols>
  <sheetData>
    <row r="1" ht="22" customHeight="1">
      <c r="A1" s="1" t="inlineStr">
        <is>
          <t>Assumptions</t>
        </is>
      </c>
    </row>
    <row r="2" ht="18" customHeight="1">
      <c r="A2" s="3" t="inlineStr">
        <is>
          <t>Name</t>
        </is>
      </c>
      <c r="B2" s="3" t="inlineStr">
        <is>
          <t>Unit</t>
        </is>
      </c>
      <c r="C2" s="3" t="inlineStr">
        <is>
          <t>Value</t>
        </is>
      </c>
      <c r="D2" s="3" t="inlineStr">
        <is>
          <t>Note</t>
        </is>
      </c>
    </row>
    <row r="3">
      <c r="A3" s="1" t="inlineStr">
        <is>
          <t>Timeline</t>
        </is>
      </c>
    </row>
    <row r="4">
      <c r="A4" s="3" t="inlineStr">
        <is>
          <t>CONSTR_MONTHS</t>
        </is>
      </c>
      <c r="B4" s="4" t="inlineStr">
        <is>
          <t>months</t>
        </is>
      </c>
      <c r="C4" s="5" t="n">
        <v>30</v>
      </c>
      <c r="D4" s="4" t="inlineStr">
        <is>
          <t>Construction duration, months 1 through this month</t>
        </is>
      </c>
    </row>
    <row r="5">
      <c r="A5" s="3" t="inlineStr">
        <is>
          <t>RETAIL_OPEN_M</t>
        </is>
      </c>
      <c r="B5" s="4" t="inlineStr">
        <is>
          <t>month</t>
        </is>
      </c>
      <c r="C5" s="5" t="n">
        <v>29</v>
      </c>
      <c r="D5" s="4" t="inlineStr">
        <is>
          <t>First month of retail operations</t>
        </is>
      </c>
    </row>
    <row r="6">
      <c r="A6" s="3" t="inlineStr">
        <is>
          <t>HOTEL_OPEN_M</t>
        </is>
      </c>
      <c r="B6" s="4" t="inlineStr">
        <is>
          <t>month</t>
        </is>
      </c>
      <c r="C6" s="5" t="n">
        <v>31</v>
      </c>
      <c r="D6" s="4" t="inlineStr">
        <is>
          <t>First month of hotel operations</t>
        </is>
      </c>
    </row>
    <row r="7">
      <c r="A7" s="3" t="inlineStr">
        <is>
          <t>FIRST_CLOSING_M</t>
        </is>
      </c>
      <c r="B7" s="4" t="inlineStr">
        <is>
          <t>month</t>
        </is>
      </c>
      <c r="C7" s="5" t="n">
        <v>33</v>
      </c>
      <c r="D7" s="4" t="inlineStr">
        <is>
          <t>First condo closing month</t>
        </is>
      </c>
    </row>
    <row r="8">
      <c r="A8" s="3" t="inlineStr">
        <is>
          <t>CLOSINGS_SPAN_M</t>
        </is>
      </c>
      <c r="B8" s="4" t="inlineStr">
        <is>
          <t>months</t>
        </is>
      </c>
      <c r="C8" s="5" t="n">
        <v>36</v>
      </c>
      <c r="D8" s="4" t="inlineStr">
        <is>
          <t>Sellout length; last closing is first + span - 1</t>
        </is>
      </c>
    </row>
    <row r="9">
      <c r="A9" s="3" t="inlineStr">
        <is>
          <t>PERM_CONV_M</t>
        </is>
      </c>
      <c r="B9" s="4" t="inlineStr">
        <is>
          <t>month</t>
        </is>
      </c>
      <c r="C9" s="5" t="n">
        <v>72</v>
      </c>
      <c r="D9" s="4" t="inlineStr">
        <is>
          <t>Permanent loan conversion month</t>
        </is>
      </c>
    </row>
    <row r="10">
      <c r="A10" s="3" t="inlineStr">
        <is>
          <t>EXIT_M</t>
        </is>
      </c>
      <c r="B10" s="4" t="inlineStr">
        <is>
          <t>month</t>
        </is>
      </c>
      <c r="C10" s="5" t="n">
        <v>84</v>
      </c>
      <c r="D10" s="4" t="inlineStr">
        <is>
          <t>Terminal sale month; fixed at the last model column</t>
        </is>
      </c>
    </row>
    <row r="12">
      <c r="A12" s="1" t="inlineStr">
        <is>
          <t>Condo program</t>
        </is>
      </c>
    </row>
    <row r="13">
      <c r="A13" s="3" t="inlineStr">
        <is>
          <t>UNITS_STUDIO</t>
        </is>
      </c>
      <c r="B13" s="4" t="inlineStr">
        <is>
          <t>units</t>
        </is>
      </c>
      <c r="C13" s="5" t="n">
        <v>36</v>
      </c>
      <c r="D13" s="4" t="inlineStr">
        <is>
          <t>Studio inventory</t>
        </is>
      </c>
    </row>
    <row r="14">
      <c r="A14" s="3" t="inlineStr">
        <is>
          <t>SQFT_STUDIO</t>
        </is>
      </c>
      <c r="B14" s="4" t="inlineStr">
        <is>
          <t>SF</t>
        </is>
      </c>
      <c r="C14" s="6" t="n">
        <v>650</v>
      </c>
      <c r="D14" s="4" t="inlineStr">
        <is>
          <t>Studio average size</t>
        </is>
      </c>
    </row>
    <row r="15">
      <c r="A15" s="3" t="inlineStr">
        <is>
          <t>PPSF_STUDIO</t>
        </is>
      </c>
      <c r="B15" s="4" t="inlineStr">
        <is>
          <t>$/SF</t>
        </is>
      </c>
      <c r="C15" s="7" t="n">
        <v>1600</v>
      </c>
      <c r="D15" s="4" t="inlineStr">
        <is>
          <t>Studio contract price</t>
        </is>
      </c>
    </row>
    <row r="16">
      <c r="A16" s="3" t="inlineStr">
        <is>
          <t>UNITS_1BR</t>
        </is>
      </c>
      <c r="B16" s="4" t="inlineStr">
        <is>
          <t>units</t>
        </is>
      </c>
      <c r="C16" s="5" t="n">
        <v>72</v>
      </c>
      <c r="D16" s="4" t="inlineStr">
        <is>
          <t>One-bedroom inventory</t>
        </is>
      </c>
    </row>
    <row r="17">
      <c r="A17" s="3" t="inlineStr">
        <is>
          <t>SQFT_1BR</t>
        </is>
      </c>
      <c r="B17" s="4" t="inlineStr">
        <is>
          <t>SF</t>
        </is>
      </c>
      <c r="C17" s="6" t="n">
        <v>950</v>
      </c>
      <c r="D17" s="4" t="inlineStr">
        <is>
          <t>One-bedroom average size</t>
        </is>
      </c>
    </row>
    <row r="18">
      <c r="A18" s="3" t="inlineStr">
        <is>
          <t>PPSF_1BR</t>
        </is>
      </c>
      <c r="B18" s="4" t="inlineStr">
        <is>
          <t>$/SF</t>
        </is>
      </c>
      <c r="C18" s="7" t="n">
        <v>1750</v>
      </c>
      <c r="D18" s="4" t="inlineStr">
        <is>
          <t>One-bedroom contract price</t>
        </is>
      </c>
    </row>
    <row r="19">
      <c r="A19" s="3" t="inlineStr">
        <is>
          <t>UNITS_2BR</t>
        </is>
      </c>
      <c r="B19" s="4" t="inlineStr">
        <is>
          <t>units</t>
        </is>
      </c>
      <c r="C19" s="5" t="n">
        <v>54</v>
      </c>
      <c r="D19" s="4" t="inlineStr">
        <is>
          <t>Two-bedroom inventory</t>
        </is>
      </c>
    </row>
    <row r="20">
      <c r="A20" s="3" t="inlineStr">
        <is>
          <t>SQFT_2BR</t>
        </is>
      </c>
      <c r="B20" s="4" t="inlineStr">
        <is>
          <t>SF</t>
        </is>
      </c>
      <c r="C20" s="6" t="n">
        <v>1450</v>
      </c>
      <c r="D20" s="4" t="inlineStr">
        <is>
          <t>Two-bedroom average size</t>
        </is>
      </c>
    </row>
    <row r="21">
      <c r="A21" s="3" t="inlineStr">
        <is>
          <t>PPSF_2BR</t>
        </is>
      </c>
      <c r="B21" s="4" t="inlineStr">
        <is>
          <t>$/SF</t>
        </is>
      </c>
      <c r="C21" s="7" t="n">
        <v>1900</v>
      </c>
      <c r="D21" s="4" t="inlineStr">
        <is>
          <t>Two-bedroom contract price</t>
        </is>
      </c>
    </row>
    <row r="22">
      <c r="A22" s="3" t="inlineStr">
        <is>
          <t>UNITS_3BR</t>
        </is>
      </c>
      <c r="B22" s="4" t="inlineStr">
        <is>
          <t>units</t>
        </is>
      </c>
      <c r="C22" s="5" t="n">
        <v>14</v>
      </c>
      <c r="D22" s="4" t="inlineStr">
        <is>
          <t>Three-bedroom inventory</t>
        </is>
      </c>
    </row>
    <row r="23">
      <c r="A23" s="3" t="inlineStr">
        <is>
          <t>SQFT_3BR</t>
        </is>
      </c>
      <c r="B23" s="4" t="inlineStr">
        <is>
          <t>SF</t>
        </is>
      </c>
      <c r="C23" s="6" t="n">
        <v>2100</v>
      </c>
      <c r="D23" s="4" t="inlineStr">
        <is>
          <t>Three-bedroom average size</t>
        </is>
      </c>
    </row>
    <row r="24">
      <c r="A24" s="3" t="inlineStr">
        <is>
          <t>PPSF_3BR</t>
        </is>
      </c>
      <c r="B24" s="4" t="inlineStr">
        <is>
          <t>$/SF</t>
        </is>
      </c>
      <c r="C24" s="7" t="n">
        <v>2200</v>
      </c>
      <c r="D24" s="4" t="inlineStr">
        <is>
          <t>Three-bedroom contract price</t>
        </is>
      </c>
    </row>
    <row r="25">
      <c r="A25" s="3" t="inlineStr">
        <is>
          <t>UNITS_PH</t>
        </is>
      </c>
      <c r="B25" s="4" t="inlineStr">
        <is>
          <t>units</t>
        </is>
      </c>
      <c r="C25" s="5" t="n">
        <v>4</v>
      </c>
      <c r="D25" s="4" t="inlineStr">
        <is>
          <t>Penthouse inventory</t>
        </is>
      </c>
    </row>
    <row r="26">
      <c r="A26" s="3" t="inlineStr">
        <is>
          <t>SQFT_PH</t>
        </is>
      </c>
      <c r="B26" s="4" t="inlineStr">
        <is>
          <t>SF</t>
        </is>
      </c>
      <c r="C26" s="6" t="n">
        <v>3200</v>
      </c>
      <c r="D26" s="4" t="inlineStr">
        <is>
          <t>Penthouse average size</t>
        </is>
      </c>
    </row>
    <row r="27">
      <c r="A27" s="3" t="inlineStr">
        <is>
          <t>PPSF_PH</t>
        </is>
      </c>
      <c r="B27" s="4" t="inlineStr">
        <is>
          <t>$/SF</t>
        </is>
      </c>
      <c r="C27" s="7" t="n">
        <v>2800</v>
      </c>
      <c r="D27" s="4" t="inlineStr">
        <is>
          <t>Penthouse contract price</t>
        </is>
      </c>
    </row>
    <row r="28">
      <c r="A28" s="3" t="inlineStr">
        <is>
          <t>PARKING_SPACES</t>
        </is>
      </c>
      <c r="B28" s="4" t="inlineStr">
        <is>
          <t>spaces</t>
        </is>
      </c>
      <c r="C28" s="5" t="n">
        <v>180</v>
      </c>
      <c r="D28" s="4" t="inlineStr">
        <is>
          <t>Released pro-rata with unit closings</t>
        </is>
      </c>
    </row>
    <row r="29">
      <c r="A29" s="3" t="inlineStr">
        <is>
          <t>PARKING_PRICE</t>
        </is>
      </c>
      <c r="B29" s="4" t="inlineStr">
        <is>
          <t>$</t>
        </is>
      </c>
      <c r="C29" s="7" t="n">
        <v>75000</v>
      </c>
      <c r="D29" s="4" t="inlineStr">
        <is>
          <t>Price per space</t>
        </is>
      </c>
    </row>
    <row r="30">
      <c r="A30" s="3" t="inlineStr">
        <is>
          <t>STORAGE_UNITS</t>
        </is>
      </c>
      <c r="B30" s="4" t="inlineStr">
        <is>
          <t>units</t>
        </is>
      </c>
      <c r="C30" s="5" t="n">
        <v>120</v>
      </c>
      <c r="D30" s="4" t="inlineStr">
        <is>
          <t>Released pro-rata with unit closings</t>
        </is>
      </c>
    </row>
    <row r="31">
      <c r="A31" s="3" t="inlineStr">
        <is>
          <t>STORAGE_PRICE</t>
        </is>
      </c>
      <c r="B31" s="4" t="inlineStr">
        <is>
          <t>$</t>
        </is>
      </c>
      <c r="C31" s="7" t="n">
        <v>15000</v>
      </c>
      <c r="D31" s="4" t="inlineStr">
        <is>
          <t>Price per storage unit</t>
        </is>
      </c>
    </row>
    <row r="32">
      <c r="A32" s="3" t="inlineStr">
        <is>
          <t>CLOSING_COST_PCT</t>
        </is>
      </c>
      <c r="B32" s="4" t="inlineStr">
        <is>
          <t>% of gross</t>
        </is>
      </c>
      <c r="C32" s="8" t="n">
        <v>0.05</v>
      </c>
      <c r="D32" s="4" t="inlineStr">
        <is>
          <t>Transfer taxes and brokers</t>
        </is>
      </c>
    </row>
    <row r="33">
      <c r="A33" s="3" t="inlineStr">
        <is>
          <t>MARKETING_PCT</t>
        </is>
      </c>
      <c r="B33" s="4" t="inlineStr">
        <is>
          <t>% of gross</t>
        </is>
      </c>
      <c r="C33" s="8" t="n">
        <v>0.015</v>
      </c>
      <c r="D33" s="4" t="inlineStr">
        <is>
          <t>Marketing cost rate</t>
        </is>
      </c>
    </row>
    <row r="35">
      <c r="A35" s="1" t="inlineStr">
        <is>
          <t>Development budget</t>
        </is>
      </c>
    </row>
    <row r="36">
      <c r="A36" s="3" t="inlineStr">
        <is>
          <t>LAND_COST</t>
        </is>
      </c>
      <c r="B36" s="4" t="inlineStr">
        <is>
          <t>$</t>
        </is>
      </c>
      <c r="C36" s="7" t="n">
        <v>85000000</v>
      </c>
      <c r="D36" s="4" t="inlineStr">
        <is>
          <t>Land, funded at month 1</t>
        </is>
      </c>
    </row>
    <row r="37">
      <c r="A37" s="3" t="inlineStr">
        <is>
          <t>ACQ_COST_PCT</t>
        </is>
      </c>
      <c r="B37" s="4" t="inlineStr">
        <is>
          <t>% of land</t>
        </is>
      </c>
      <c r="C37" s="8" t="n">
        <v>0.01</v>
      </c>
      <c r="D37" s="4" t="inlineStr">
        <is>
          <t>Acquisition costs</t>
        </is>
      </c>
    </row>
    <row r="38">
      <c r="A38" s="3" t="inlineStr">
        <is>
          <t>RES_GSF</t>
        </is>
      </c>
      <c r="B38" s="4" t="inlineStr">
        <is>
          <t>SF</t>
        </is>
      </c>
      <c r="C38" s="6" t="n">
        <v>240000</v>
      </c>
      <c r="D38" s="4" t="inlineStr">
        <is>
          <t>Residential gross area</t>
        </is>
      </c>
    </row>
    <row r="39">
      <c r="A39" s="3" t="inlineStr">
        <is>
          <t>HOTEL_GSF</t>
        </is>
      </c>
      <c r="B39" s="4" t="inlineStr">
        <is>
          <t>SF</t>
        </is>
      </c>
      <c r="C39" s="6" t="n">
        <v>150000</v>
      </c>
      <c r="D39" s="4" t="inlineStr">
        <is>
          <t>Hotel gross area</t>
        </is>
      </c>
    </row>
    <row r="40">
      <c r="A40" s="3" t="inlineStr">
        <is>
          <t>RETAIL_GSF</t>
        </is>
      </c>
      <c r="B40" s="4" t="inlineStr">
        <is>
          <t>SF</t>
        </is>
      </c>
      <c r="C40" s="6" t="n">
        <v>25000</v>
      </c>
      <c r="D40" s="4" t="inlineStr">
        <is>
          <t>Retail gross area</t>
        </is>
      </c>
    </row>
    <row r="41">
      <c r="A41" s="3" t="inlineStr">
        <is>
          <t>HC_PSF_RES</t>
        </is>
      </c>
      <c r="B41" s="4" t="inlineStr">
        <is>
          <t>$/SF</t>
        </is>
      </c>
      <c r="C41" s="7" t="n">
        <v>700</v>
      </c>
      <c r="D41" s="4" t="inlineStr">
        <is>
          <t>Residential hard-cost unit rate</t>
        </is>
      </c>
    </row>
    <row r="42">
      <c r="A42" s="3" t="inlineStr">
        <is>
          <t>HC_PSF_HOTEL</t>
        </is>
      </c>
      <c r="B42" s="4" t="inlineStr">
        <is>
          <t>$/SF</t>
        </is>
      </c>
      <c r="C42" s="7" t="n">
        <v>850</v>
      </c>
      <c r="D42" s="4" t="inlineStr">
        <is>
          <t>Hotel hard-cost unit rate</t>
        </is>
      </c>
    </row>
    <row r="43">
      <c r="A43" s="3" t="inlineStr">
        <is>
          <t>HC_PSF_RETAIL</t>
        </is>
      </c>
      <c r="B43" s="4" t="inlineStr">
        <is>
          <t>$/SF</t>
        </is>
      </c>
      <c r="C43" s="7" t="n">
        <v>600</v>
      </c>
      <c r="D43" s="4" t="inlineStr">
        <is>
          <t>Retail hard-cost unit rate</t>
        </is>
      </c>
    </row>
    <row r="44">
      <c r="A44" s="3" t="inlineStr">
        <is>
          <t>CONTINGENCY_PCT</t>
        </is>
      </c>
      <c r="B44" s="4" t="inlineStr">
        <is>
          <t>% of hard</t>
        </is>
      </c>
      <c r="C44" s="8" t="n">
        <v>0.04</v>
      </c>
      <c r="D44" s="4" t="inlineStr">
        <is>
          <t>Contingency</t>
        </is>
      </c>
    </row>
    <row r="45">
      <c r="A45" s="3" t="inlineStr">
        <is>
          <t>SOFTCOST_PCT</t>
        </is>
      </c>
      <c r="B45" s="4" t="inlineStr">
        <is>
          <t>% of hard</t>
        </is>
      </c>
      <c r="C45" s="8" t="n">
        <v>0.12</v>
      </c>
      <c r="D45" s="4" t="inlineStr">
        <is>
          <t>Soft costs</t>
        </is>
      </c>
    </row>
    <row r="46">
      <c r="A46" s="3" t="inlineStr">
        <is>
          <t>HOTEL_KEYS</t>
        </is>
      </c>
      <c r="B46" s="4" t="inlineStr">
        <is>
          <t>keys</t>
        </is>
      </c>
      <c r="C46" s="5" t="n">
        <v>200</v>
      </c>
      <c r="D46" s="4" t="inlineStr">
        <is>
          <t>Hotel keys</t>
        </is>
      </c>
    </row>
    <row r="47">
      <c r="A47" s="3" t="inlineStr">
        <is>
          <t>FFE_PER_KEY</t>
        </is>
      </c>
      <c r="B47" s="4" t="inlineStr">
        <is>
          <t>$/key</t>
        </is>
      </c>
      <c r="C47" s="7" t="n">
        <v>45000</v>
      </c>
      <c r="D47" s="4" t="inlineStr">
        <is>
          <t>Hotel FF&amp;E</t>
        </is>
      </c>
    </row>
    <row r="48">
      <c r="A48" s="3" t="inlineStr">
        <is>
          <t>FFE_PSF_RETAIL</t>
        </is>
      </c>
      <c r="B48" s="4" t="inlineStr">
        <is>
          <t>$/SF</t>
        </is>
      </c>
      <c r="C48" s="7" t="n">
        <v>85</v>
      </c>
      <c r="D48" s="4" t="inlineStr">
        <is>
          <t>Retail FF&amp;E</t>
        </is>
      </c>
    </row>
    <row r="49">
      <c r="A49" s="3" t="inlineStr">
        <is>
          <t>DEVFEE_PCT</t>
        </is>
      </c>
      <c r="B49" s="4" t="inlineStr">
        <is>
          <t>% of fee base</t>
        </is>
      </c>
      <c r="C49" s="8" t="n">
        <v>0.04</v>
      </c>
      <c r="D49" s="4" t="inlineStr">
        <is>
          <t>Fee base is land, acquisition, hard, contingency, soft, and FF&amp;E</t>
        </is>
      </c>
    </row>
    <row r="51">
      <c r="A51" s="1" t="inlineStr">
        <is>
          <t>Construction debt</t>
        </is>
      </c>
    </row>
    <row r="52">
      <c r="A52" s="3" t="inlineStr">
        <is>
          <t>LTC_PCT</t>
        </is>
      </c>
      <c r="B52" s="4" t="inlineStr">
        <is>
          <t>% of uses</t>
        </is>
      </c>
      <c r="C52" s="8" t="n">
        <v>0.6</v>
      </c>
      <c r="D52" s="4" t="inlineStr">
        <is>
          <t>Loan-to-cost, including the interest reserve</t>
        </is>
      </c>
    </row>
    <row r="53">
      <c r="A53" s="3" t="inlineStr">
        <is>
          <t>CT_SPREAD_PCT</t>
        </is>
      </c>
      <c r="B53" s="4" t="inlineStr">
        <is>
          <t>annual</t>
        </is>
      </c>
      <c r="C53" s="8" t="n">
        <v>0.0275</v>
      </c>
      <c r="D53" s="4" t="inlineStr">
        <is>
          <t>Spread over SOFR</t>
        </is>
      </c>
    </row>
    <row r="54">
      <c r="A54" s="3" t="inlineStr">
        <is>
          <t>SOFR_FLOOR_PCT</t>
        </is>
      </c>
      <c r="B54" s="4" t="inlineStr">
        <is>
          <t>annual</t>
        </is>
      </c>
      <c r="C54" s="8" t="n">
        <v>0</v>
      </c>
      <c r="D54" s="4" t="inlineStr">
        <is>
          <t>SOFR floor</t>
        </is>
      </c>
    </row>
    <row r="55">
      <c r="A55" s="3" t="inlineStr">
        <is>
          <t>AVG_DRAWN_FRAC</t>
        </is>
      </c>
      <c r="B55" s="4" t="inlineStr">
        <is>
          <t>fraction</t>
        </is>
      </c>
      <c r="C55" s="9" t="n">
        <v>0.55</v>
      </c>
      <c r="D55" s="4" t="inlineStr">
        <is>
          <t>Average drawn fraction used only to size the interest reserve</t>
        </is>
      </c>
    </row>
    <row r="56">
      <c r="A56" s="3" t="inlineStr">
        <is>
          <t>CT_COSTS_PCT</t>
        </is>
      </c>
      <c r="B56" s="4" t="inlineStr">
        <is>
          <t>% of commitment</t>
        </is>
      </c>
      <c r="C56" s="8" t="n">
        <v>0.0075</v>
      </c>
      <c r="D56" s="4" t="inlineStr">
        <is>
          <t>Construction loan closing costs</t>
        </is>
      </c>
    </row>
    <row r="58">
      <c r="A58" s="1" t="inlineStr">
        <is>
          <t>Permanent debt</t>
        </is>
      </c>
    </row>
    <row r="59">
      <c r="A59" s="3" t="inlineStr">
        <is>
          <t>PERM_LTV</t>
        </is>
      </c>
      <c r="B59" s="4" t="inlineStr">
        <is>
          <t>LTV cap</t>
        </is>
      </c>
      <c r="C59" s="8" t="n">
        <v>0.55</v>
      </c>
      <c r="D59" s="4" t="inlineStr">
        <is>
          <t>Cap on hotel plus retail value at conversion</t>
        </is>
      </c>
    </row>
    <row r="60">
      <c r="A60" s="3" t="inlineStr">
        <is>
          <t>PERM_DSCR</t>
        </is>
      </c>
      <c r="B60" s="4" t="inlineStr">
        <is>
          <t>x</t>
        </is>
      </c>
      <c r="C60" s="9" t="n">
        <v>1.4</v>
      </c>
      <c r="D60" s="4" t="inlineStr">
        <is>
          <t>DSCR cap on T12 NOI at conversion</t>
        </is>
      </c>
    </row>
    <row r="61">
      <c r="A61" s="3" t="inlineStr">
        <is>
          <t>PERM_DY</t>
        </is>
      </c>
      <c r="B61" s="4" t="inlineStr">
        <is>
          <t>debt yield</t>
        </is>
      </c>
      <c r="C61" s="8" t="n">
        <v>0.09</v>
      </c>
      <c r="D61" s="4" t="inlineStr">
        <is>
          <t>Debt-yield cap on T12 NOI at conversion</t>
        </is>
      </c>
    </row>
    <row r="62">
      <c r="A62" s="3" t="inlineStr">
        <is>
          <t>PERM_RATE_PCT</t>
        </is>
      </c>
      <c r="B62" s="4" t="inlineStr">
        <is>
          <t>annual</t>
        </is>
      </c>
      <c r="C62" s="8" t="n">
        <v>0.0575</v>
      </c>
      <c r="D62" s="4" t="inlineStr">
        <is>
          <t>Fixed rate from conversion</t>
        </is>
      </c>
    </row>
    <row r="63">
      <c r="A63" s="3" t="inlineStr">
        <is>
          <t>PERM_AMORT_YRS</t>
        </is>
      </c>
      <c r="B63" s="4" t="inlineStr">
        <is>
          <t>years</t>
        </is>
      </c>
      <c r="C63" s="5" t="n">
        <v>30</v>
      </c>
      <c r="D63" s="4" t="inlineStr">
        <is>
          <t>Amortization term</t>
        </is>
      </c>
    </row>
    <row r="64">
      <c r="A64" s="3" t="inlineStr">
        <is>
          <t>PERM_COSTS_PCT</t>
        </is>
      </c>
      <c r="B64" s="4" t="inlineStr">
        <is>
          <t>% of proceeds</t>
        </is>
      </c>
      <c r="C64" s="8" t="n">
        <v>0.005</v>
      </c>
      <c r="D64" s="4" t="inlineStr">
        <is>
          <t>Permanent financing costs, at conversion, not in construction uses</t>
        </is>
      </c>
    </row>
    <row r="66">
      <c r="A66" s="1" t="inlineStr">
        <is>
          <t>Hotel operations</t>
        </is>
      </c>
    </row>
    <row r="67">
      <c r="A67" s="3" t="inlineStr">
        <is>
          <t>ADR_Y1</t>
        </is>
      </c>
      <c r="B67" s="4" t="inlineStr">
        <is>
          <t>$</t>
        </is>
      </c>
      <c r="C67" s="7" t="n">
        <v>650</v>
      </c>
      <c r="D67" s="4" t="inlineStr">
        <is>
          <t>Year-1 ADR</t>
        </is>
      </c>
    </row>
    <row r="68">
      <c r="A68" s="3" t="inlineStr">
        <is>
          <t>ADR_GROWTH_PCT</t>
        </is>
      </c>
      <c r="B68" s="4" t="inlineStr">
        <is>
          <t>per year</t>
        </is>
      </c>
      <c r="C68" s="8" t="n">
        <v>0.025</v>
      </c>
      <c r="D68" s="4" t="inlineStr">
        <is>
          <t>ADR growth by operating year</t>
        </is>
      </c>
    </row>
    <row r="69">
      <c r="A69" s="3" t="inlineStr">
        <is>
          <t>OCC_Y1</t>
        </is>
      </c>
      <c r="B69" s="4" t="inlineStr">
        <is>
          <t>occupancy</t>
        </is>
      </c>
      <c r="C69" s="8" t="n">
        <v>0.65</v>
      </c>
      <c r="D69" s="4" t="inlineStr">
        <is>
          <t>Operating year 1</t>
        </is>
      </c>
    </row>
    <row r="70">
      <c r="A70" s="3" t="inlineStr">
        <is>
          <t>OCC_Y2</t>
        </is>
      </c>
      <c r="B70" s="4" t="inlineStr">
        <is>
          <t>occupancy</t>
        </is>
      </c>
      <c r="C70" s="8" t="n">
        <v>0.75</v>
      </c>
      <c r="D70" s="4" t="inlineStr">
        <is>
          <t>Operating year 2</t>
        </is>
      </c>
    </row>
    <row r="71">
      <c r="A71" s="3" t="inlineStr">
        <is>
          <t>OCC_STAB</t>
        </is>
      </c>
      <c r="B71" s="4" t="inlineStr">
        <is>
          <t>occupancy</t>
        </is>
      </c>
      <c r="C71" s="8" t="n">
        <v>0.82</v>
      </c>
      <c r="D71" s="4" t="inlineStr">
        <is>
          <t>Operating year 3 and after</t>
        </is>
      </c>
    </row>
    <row r="72">
      <c r="A72" s="3" t="inlineStr">
        <is>
          <t>FB_REV_PCT</t>
        </is>
      </c>
      <c r="B72" s="4" t="inlineStr">
        <is>
          <t>% of rooms</t>
        </is>
      </c>
      <c r="C72" s="8" t="n">
        <v>0.35</v>
      </c>
      <c r="D72" s="4" t="inlineStr">
        <is>
          <t>Food and beverage revenue</t>
        </is>
      </c>
    </row>
    <row r="73">
      <c r="A73" s="3" t="inlineStr">
        <is>
          <t>OTHER_REV_PCT</t>
        </is>
      </c>
      <c r="B73" s="4" t="inlineStr">
        <is>
          <t>% of rooms</t>
        </is>
      </c>
      <c r="C73" s="8" t="n">
        <v>0.08</v>
      </c>
      <c r="D73" s="4" t="inlineStr">
        <is>
          <t>Other revenue</t>
        </is>
      </c>
    </row>
    <row r="74">
      <c r="A74" s="3" t="inlineStr">
        <is>
          <t>HOTEL_UNDIST_PCT</t>
        </is>
      </c>
      <c r="B74" s="4" t="inlineStr">
        <is>
          <t>% of revenue</t>
        </is>
      </c>
      <c r="C74" s="8" t="n">
        <v>0.22</v>
      </c>
      <c r="D74" s="4" t="inlineStr">
        <is>
          <t>Undistributed expenses</t>
        </is>
      </c>
    </row>
    <row r="75">
      <c r="A75" s="3" t="inlineStr">
        <is>
          <t>HOTEL_MGMT_PCT</t>
        </is>
      </c>
      <c r="B75" s="4" t="inlineStr">
        <is>
          <t>% of revenue</t>
        </is>
      </c>
      <c r="C75" s="8" t="n">
        <v>0.03</v>
      </c>
      <c r="D75" s="4" t="inlineStr">
        <is>
          <t>Management fee</t>
        </is>
      </c>
    </row>
    <row r="76">
      <c r="A76" s="3" t="inlineStr">
        <is>
          <t>REPL_RESERVE_PCT</t>
        </is>
      </c>
      <c r="B76" s="4" t="inlineStr">
        <is>
          <t>% of revenue</t>
        </is>
      </c>
      <c r="C76" s="8" t="n">
        <v>0.035</v>
      </c>
      <c r="D76" s="4" t="inlineStr">
        <is>
          <t>Replacement reserve</t>
        </is>
      </c>
    </row>
    <row r="77">
      <c r="A77" s="3" t="inlineStr">
        <is>
          <t>HOTEL_CAP</t>
        </is>
      </c>
      <c r="B77" s="4" t="inlineStr">
        <is>
          <t>cap rate</t>
        </is>
      </c>
      <c r="C77" s="8" t="n">
        <v>0.0725</v>
      </c>
      <c r="D77" s="4" t="inlineStr">
        <is>
          <t>Stabilization and exit cap rate</t>
        </is>
      </c>
    </row>
    <row r="79">
      <c r="A79" s="1" t="inlineStr">
        <is>
          <t>Retail operations</t>
        </is>
      </c>
    </row>
    <row r="80">
      <c r="A80" s="3" t="inlineStr">
        <is>
          <t>RETAIL_BASE_PSF</t>
        </is>
      </c>
      <c r="B80" s="4" t="inlineStr">
        <is>
          <t>$/SF</t>
        </is>
      </c>
      <c r="C80" s="7" t="n">
        <v>120</v>
      </c>
      <c r="D80" s="4" t="inlineStr">
        <is>
          <t>Year-1 base rent</t>
        </is>
      </c>
    </row>
    <row r="81">
      <c r="A81" s="3" t="inlineStr">
        <is>
          <t>RETAIL_ESC_PCT</t>
        </is>
      </c>
      <c r="B81" s="4" t="inlineStr">
        <is>
          <t>per year</t>
        </is>
      </c>
      <c r="C81" s="8" t="n">
        <v>0.03</v>
      </c>
      <c r="D81" s="4" t="inlineStr">
        <is>
          <t>Annual escalation from retail open</t>
        </is>
      </c>
    </row>
    <row r="82">
      <c r="A82" s="3" t="inlineStr">
        <is>
          <t>RETAIL_RECOV_PSF</t>
        </is>
      </c>
      <c r="B82" s="4" t="inlineStr">
        <is>
          <t>$/SF</t>
        </is>
      </c>
      <c r="C82" s="7" t="n">
        <v>18</v>
      </c>
      <c r="D82" s="4" t="inlineStr">
        <is>
          <t>Recoverable pool</t>
        </is>
      </c>
    </row>
    <row r="83">
      <c r="A83" s="3" t="inlineStr">
        <is>
          <t>RETAIL_RECOV_RATIO</t>
        </is>
      </c>
      <c r="B83" s="4" t="inlineStr">
        <is>
          <t>ratio</t>
        </is>
      </c>
      <c r="C83" s="8" t="n">
        <v>0.9</v>
      </c>
      <c r="D83" s="4" t="inlineStr">
        <is>
          <t>Recovery ratio</t>
        </is>
      </c>
    </row>
    <row r="84">
      <c r="A84" s="3" t="inlineStr">
        <is>
          <t>RETAIL_VAC_PCT</t>
        </is>
      </c>
      <c r="B84" s="4" t="inlineStr">
        <is>
          <t>% of base+recoveries</t>
        </is>
      </c>
      <c r="C84" s="8" t="n">
        <v>0.05</v>
      </c>
      <c r="D84" s="4" t="inlineStr">
        <is>
          <t>Vacancy and credit loss</t>
        </is>
      </c>
    </row>
    <row r="85">
      <c r="A85" s="3" t="inlineStr">
        <is>
          <t>RETAIL_OP_PSF</t>
        </is>
      </c>
      <c r="B85" s="4" t="inlineStr">
        <is>
          <t>$/SF</t>
        </is>
      </c>
      <c r="C85" s="7" t="n">
        <v>9</v>
      </c>
      <c r="D85" s="4" t="inlineStr">
        <is>
          <t>Non-recoverable opex, not escalated</t>
        </is>
      </c>
    </row>
    <row r="86">
      <c r="A86" s="3" t="inlineStr">
        <is>
          <t>RETAIL_MGMT_PCT</t>
        </is>
      </c>
      <c r="B86" s="4" t="inlineStr">
        <is>
          <t>% of EGI</t>
        </is>
      </c>
      <c r="C86" s="8" t="n">
        <v>0.02</v>
      </c>
      <c r="D86" s="4" t="inlineStr">
        <is>
          <t>Management fee</t>
        </is>
      </c>
    </row>
    <row r="87">
      <c r="A87" s="3" t="inlineStr">
        <is>
          <t>RETAIL_CAP</t>
        </is>
      </c>
      <c r="B87" s="4" t="inlineStr">
        <is>
          <t>cap rate</t>
        </is>
      </c>
      <c r="C87" s="8" t="n">
        <v>0.0625</v>
      </c>
      <c r="D87" s="4" t="inlineStr">
        <is>
          <t>Stabilization and exit cap rate</t>
        </is>
      </c>
    </row>
    <row r="89">
      <c r="A89" s="1" t="inlineStr">
        <is>
          <t>Exit and capital</t>
        </is>
      </c>
    </row>
    <row r="90">
      <c r="A90" s="3" t="inlineStr">
        <is>
          <t>SELL_COST_PCT</t>
        </is>
      </c>
      <c r="B90" s="4" t="inlineStr">
        <is>
          <t>% of value</t>
        </is>
      </c>
      <c r="C90" s="8" t="n">
        <v>0.015</v>
      </c>
      <c r="D90" s="4" t="inlineStr">
        <is>
          <t>Cost of sale on hotel plus retail terminal value</t>
        </is>
      </c>
    </row>
    <row r="91">
      <c r="A91" s="3" t="inlineStr">
        <is>
          <t>GP_EQUITY_PCT</t>
        </is>
      </c>
      <c r="B91" s="4" t="inlineStr">
        <is>
          <t>% of equity</t>
        </is>
      </c>
      <c r="C91" s="8" t="n">
        <v>0.1</v>
      </c>
      <c r="D91" s="4" t="inlineStr">
        <is>
          <t>GP co-invest share</t>
        </is>
      </c>
    </row>
    <row r="92">
      <c r="A92" s="3" t="inlineStr">
        <is>
          <t>PREF_PCT</t>
        </is>
      </c>
      <c r="B92" s="4" t="inlineStr">
        <is>
          <t>annual</t>
        </is>
      </c>
      <c r="C92" s="8" t="n">
        <v>0.08</v>
      </c>
      <c r="D92" s="4" t="inlineStr">
        <is>
          <t>LP preferred return, monthly compounding</t>
        </is>
      </c>
    </row>
    <row r="93">
      <c r="A93" s="3" t="inlineStr">
        <is>
          <t>CATCHUP_PCT</t>
        </is>
      </c>
      <c r="B93" s="4" t="inlineStr">
        <is>
          <t>% of profits</t>
        </is>
      </c>
      <c r="C93" s="8" t="n">
        <v>0.2</v>
      </c>
      <c r="D93" s="4" t="inlineStr">
        <is>
          <t>GP catch-up target</t>
        </is>
      </c>
    </row>
    <row r="94">
      <c r="A94" s="3" t="inlineStr">
        <is>
          <t>T3_ACCRUAL_PCT</t>
        </is>
      </c>
      <c r="B94" s="4" t="inlineStr">
        <is>
          <t>annual</t>
        </is>
      </c>
      <c r="C94" s="8" t="n">
        <v>0.15</v>
      </c>
      <c r="D94" s="4" t="inlineStr">
        <is>
          <t>Tier-3 accrual gate, not an XIRR gate</t>
        </is>
      </c>
    </row>
    <row r="95">
      <c r="A95" s="3" t="inlineStr">
        <is>
          <t>T3_LP_SPLIT</t>
        </is>
      </c>
      <c r="B95" s="4" t="inlineStr">
        <is>
          <t>LP share</t>
        </is>
      </c>
      <c r="C95" s="8" t="n">
        <v>0.7</v>
      </c>
      <c r="D95" s="4" t="inlineStr">
        <is>
          <t>LP share in tier 3</t>
        </is>
      </c>
    </row>
    <row r="96">
      <c r="A96" s="3" t="inlineStr">
        <is>
          <t>T4_LP_SPLIT</t>
        </is>
      </c>
      <c r="B96" s="4" t="inlineStr">
        <is>
          <t>LP share</t>
        </is>
      </c>
      <c r="C96" s="8" t="n">
        <v>0.8</v>
      </c>
      <c r="D96" s="4" t="inlineStr">
        <is>
          <t>LP share in tier 4</t>
        </is>
      </c>
    </row>
  </sheetData>
  <autoFilter ref="A2:D97"/>
  <pageMargins left="0.4" right="0.4" top="0.6" bottom="0.5" header="0.25" footer="0.25"/>
  <pageSetup orientation="landscape" paperSize="3" fitToHeight="0" fitToWidth="1"/>
  <headerFooter>
    <oddHeader>&amp;LElite Luxury Mixed-Use  |  Illustrative template&amp;CAssumptions — blue cells are the only inputs</oddHeader>
    <oddFooter>&amp;LNot a live deal  |  Not an offering  |  Not investment advice&amp;RPage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E85"/>
  <sheetViews>
    <sheetView view="pageBreakPreview" zoomScale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4" customWidth="1" min="3" max="3"/>
    <col width="92" customWidth="1" min="4" max="4"/>
    <col width="42" customWidth="1" min="5" max="5"/>
  </cols>
  <sheetData>
    <row r="1" ht="22" customHeight="1">
      <c r="A1" s="1" t="inlineStr">
        <is>
          <t>SOFR</t>
        </is>
      </c>
    </row>
    <row r="2">
      <c r="A2" s="10">
        <f>ROW()-1</f>
        <v/>
      </c>
      <c r="B2" s="11">
        <f>EOMONTH(DATE(2026,1,1),A2-1)</f>
        <v/>
      </c>
      <c r="C2" s="8" t="n">
        <v>0.043</v>
      </c>
      <c r="D2" s="4" t="inlineStr">
        <is>
          <t>ASSUMPTION — placeholder forward; not a live Chatham quote. Paste Chatham forwards here.</t>
        </is>
      </c>
      <c r="E2" s="4" t="inlineStr">
        <is>
          <t>Paste target. Placeholder path is 4.30% at month 1 gliding linearly to 3.60% at month 24, then flat. Not a live quote.</t>
        </is>
      </c>
    </row>
    <row r="3">
      <c r="A3" s="10">
        <f>ROW()-1</f>
        <v/>
      </c>
      <c r="B3" s="11">
        <f>EOMONTH(DATE(2026,1,1),A3-1)</f>
        <v/>
      </c>
      <c r="C3" s="8" t="n">
        <v>0.04269565217391304</v>
      </c>
      <c r="D3" s="4" t="inlineStr">
        <is>
          <t>ASSUMPTION — placeholder forward; not a live Chatham quote. Paste Chatham forwards here.</t>
        </is>
      </c>
    </row>
    <row r="4">
      <c r="A4" s="10">
        <f>ROW()-1</f>
        <v/>
      </c>
      <c r="B4" s="11">
        <f>EOMONTH(DATE(2026,1,1),A4-1)</f>
        <v/>
      </c>
      <c r="C4" s="8" t="n">
        <v>0.04239130434782609</v>
      </c>
      <c r="D4" s="4" t="inlineStr">
        <is>
          <t>ASSUMPTION — placeholder forward; not a live Chatham quote. Paste Chatham forwards here.</t>
        </is>
      </c>
    </row>
    <row r="5">
      <c r="A5" s="10">
        <f>ROW()-1</f>
        <v/>
      </c>
      <c r="B5" s="11">
        <f>EOMONTH(DATE(2026,1,1),A5-1)</f>
        <v/>
      </c>
      <c r="C5" s="8" t="n">
        <v>0.04208695652173913</v>
      </c>
      <c r="D5" s="4" t="inlineStr">
        <is>
          <t>ASSUMPTION — placeholder forward; not a live Chatham quote. Paste Chatham forwards here.</t>
        </is>
      </c>
    </row>
    <row r="6">
      <c r="A6" s="10">
        <f>ROW()-1</f>
        <v/>
      </c>
      <c r="B6" s="11">
        <f>EOMONTH(DATE(2026,1,1),A6-1)</f>
        <v/>
      </c>
      <c r="C6" s="8" t="n">
        <v>0.04178260869565217</v>
      </c>
      <c r="D6" s="4" t="inlineStr">
        <is>
          <t>ASSUMPTION — placeholder forward; not a live Chatham quote. Paste Chatham forwards here.</t>
        </is>
      </c>
    </row>
    <row r="7">
      <c r="A7" s="10">
        <f>ROW()-1</f>
        <v/>
      </c>
      <c r="B7" s="11">
        <f>EOMONTH(DATE(2026,1,1),A7-1)</f>
        <v/>
      </c>
      <c r="C7" s="8" t="n">
        <v>0.04147826086956521</v>
      </c>
      <c r="D7" s="4" t="inlineStr">
        <is>
          <t>ASSUMPTION — placeholder forward; not a live Chatham quote. Paste Chatham forwards here.</t>
        </is>
      </c>
    </row>
    <row r="8">
      <c r="A8" s="10">
        <f>ROW()-1</f>
        <v/>
      </c>
      <c r="B8" s="11">
        <f>EOMONTH(DATE(2026,1,1),A8-1)</f>
        <v/>
      </c>
      <c r="C8" s="8" t="n">
        <v>0.04117391304347826</v>
      </c>
      <c r="D8" s="4" t="inlineStr">
        <is>
          <t>ASSUMPTION — placeholder forward; not a live Chatham quote. Paste Chatham forwards here.</t>
        </is>
      </c>
    </row>
    <row r="9">
      <c r="A9" s="10">
        <f>ROW()-1</f>
        <v/>
      </c>
      <c r="B9" s="11">
        <f>EOMONTH(DATE(2026,1,1),A9-1)</f>
        <v/>
      </c>
      <c r="C9" s="8" t="n">
        <v>0.0408695652173913</v>
      </c>
      <c r="D9" s="4" t="inlineStr">
        <is>
          <t>ASSUMPTION — placeholder forward; not a live Chatham quote. Paste Chatham forwards here.</t>
        </is>
      </c>
    </row>
    <row r="10">
      <c r="A10" s="10">
        <f>ROW()-1</f>
        <v/>
      </c>
      <c r="B10" s="11">
        <f>EOMONTH(DATE(2026,1,1),A10-1)</f>
        <v/>
      </c>
      <c r="C10" s="8" t="n">
        <v>0.04056521739130434</v>
      </c>
      <c r="D10" s="4" t="inlineStr">
        <is>
          <t>ASSUMPTION — placeholder forward; not a live Chatham quote. Paste Chatham forwards here.</t>
        </is>
      </c>
    </row>
    <row r="11">
      <c r="A11" s="10">
        <f>ROW()-1</f>
        <v/>
      </c>
      <c r="B11" s="11">
        <f>EOMONTH(DATE(2026,1,1),A11-1)</f>
        <v/>
      </c>
      <c r="C11" s="8" t="n">
        <v>0.04026086956521739</v>
      </c>
      <c r="D11" s="4" t="inlineStr">
        <is>
          <t>ASSUMPTION — placeholder forward; not a live Chatham quote. Paste Chatham forwards here.</t>
        </is>
      </c>
    </row>
    <row r="12">
      <c r="A12" s="10">
        <f>ROW()-1</f>
        <v/>
      </c>
      <c r="B12" s="11">
        <f>EOMONTH(DATE(2026,1,1),A12-1)</f>
        <v/>
      </c>
      <c r="C12" s="8" t="n">
        <v>0.03995652173913043</v>
      </c>
      <c r="D12" s="4" t="inlineStr">
        <is>
          <t>ASSUMPTION — placeholder forward; not a live Chatham quote. Paste Chatham forwards here.</t>
        </is>
      </c>
    </row>
    <row r="13">
      <c r="A13" s="10">
        <f>ROW()-1</f>
        <v/>
      </c>
      <c r="B13" s="11">
        <f>EOMONTH(DATE(2026,1,1),A13-1)</f>
        <v/>
      </c>
      <c r="C13" s="8" t="n">
        <v>0.03965217391304347</v>
      </c>
      <c r="D13" s="4" t="inlineStr">
        <is>
          <t>ASSUMPTION — placeholder forward; not a live Chatham quote. Paste Chatham forwards here.</t>
        </is>
      </c>
    </row>
    <row r="14">
      <c r="A14" s="10">
        <f>ROW()-1</f>
        <v/>
      </c>
      <c r="B14" s="11">
        <f>EOMONTH(DATE(2026,1,1),A14-1)</f>
        <v/>
      </c>
      <c r="C14" s="8" t="n">
        <v>0.03934782608695652</v>
      </c>
      <c r="D14" s="4" t="inlineStr">
        <is>
          <t>ASSUMPTION — placeholder forward; not a live Chatham quote. Paste Chatham forwards here.</t>
        </is>
      </c>
    </row>
    <row r="15">
      <c r="A15" s="10">
        <f>ROW()-1</f>
        <v/>
      </c>
      <c r="B15" s="11">
        <f>EOMONTH(DATE(2026,1,1),A15-1)</f>
        <v/>
      </c>
      <c r="C15" s="8" t="n">
        <v>0.03904347826086956</v>
      </c>
      <c r="D15" s="4" t="inlineStr">
        <is>
          <t>ASSUMPTION — placeholder forward; not a live Chatham quote. Paste Chatham forwards here.</t>
        </is>
      </c>
    </row>
    <row r="16">
      <c r="A16" s="10">
        <f>ROW()-1</f>
        <v/>
      </c>
      <c r="B16" s="11">
        <f>EOMONTH(DATE(2026,1,1),A16-1)</f>
        <v/>
      </c>
      <c r="C16" s="8" t="n">
        <v>0.03873913043478261</v>
      </c>
      <c r="D16" s="4" t="inlineStr">
        <is>
          <t>ASSUMPTION — placeholder forward; not a live Chatham quote. Paste Chatham forwards here.</t>
        </is>
      </c>
    </row>
    <row r="17">
      <c r="A17" s="10">
        <f>ROW()-1</f>
        <v/>
      </c>
      <c r="B17" s="11">
        <f>EOMONTH(DATE(2026,1,1),A17-1)</f>
        <v/>
      </c>
      <c r="C17" s="8" t="n">
        <v>0.03843478260869565</v>
      </c>
      <c r="D17" s="4" t="inlineStr">
        <is>
          <t>ASSUMPTION — placeholder forward; not a live Chatham quote. Paste Chatham forwards here.</t>
        </is>
      </c>
    </row>
    <row r="18">
      <c r="A18" s="10">
        <f>ROW()-1</f>
        <v/>
      </c>
      <c r="B18" s="11">
        <f>EOMONTH(DATE(2026,1,1),A18-1)</f>
        <v/>
      </c>
      <c r="C18" s="8" t="n">
        <v>0.03813043478260869</v>
      </c>
      <c r="D18" s="4" t="inlineStr">
        <is>
          <t>ASSUMPTION — placeholder forward; not a live Chatham quote. Paste Chatham forwards here.</t>
        </is>
      </c>
    </row>
    <row r="19">
      <c r="A19" s="10">
        <f>ROW()-1</f>
        <v/>
      </c>
      <c r="B19" s="11">
        <f>EOMONTH(DATE(2026,1,1),A19-1)</f>
        <v/>
      </c>
      <c r="C19" s="8" t="n">
        <v>0.03782608695652174</v>
      </c>
      <c r="D19" s="4" t="inlineStr">
        <is>
          <t>ASSUMPTION — placeholder forward; not a live Chatham quote. Paste Chatham forwards here.</t>
        </is>
      </c>
    </row>
    <row r="20">
      <c r="A20" s="10">
        <f>ROW()-1</f>
        <v/>
      </c>
      <c r="B20" s="11">
        <f>EOMONTH(DATE(2026,1,1),A20-1)</f>
        <v/>
      </c>
      <c r="C20" s="8" t="n">
        <v>0.03752173913043478</v>
      </c>
      <c r="D20" s="4" t="inlineStr">
        <is>
          <t>ASSUMPTION — placeholder forward; not a live Chatham quote. Paste Chatham forwards here.</t>
        </is>
      </c>
    </row>
    <row r="21">
      <c r="A21" s="10">
        <f>ROW()-1</f>
        <v/>
      </c>
      <c r="B21" s="11">
        <f>EOMONTH(DATE(2026,1,1),A21-1)</f>
        <v/>
      </c>
      <c r="C21" s="8" t="n">
        <v>0.03721739130434783</v>
      </c>
      <c r="D21" s="4" t="inlineStr">
        <is>
          <t>ASSUMPTION — placeholder forward; not a live Chatham quote. Paste Chatham forwards here.</t>
        </is>
      </c>
    </row>
    <row r="22">
      <c r="A22" s="10">
        <f>ROW()-1</f>
        <v/>
      </c>
      <c r="B22" s="11">
        <f>EOMONTH(DATE(2026,1,1),A22-1)</f>
        <v/>
      </c>
      <c r="C22" s="8" t="n">
        <v>0.03691304347826087</v>
      </c>
      <c r="D22" s="4" t="inlineStr">
        <is>
          <t>ASSUMPTION — placeholder forward; not a live Chatham quote. Paste Chatham forwards here.</t>
        </is>
      </c>
    </row>
    <row r="23">
      <c r="A23" s="10">
        <f>ROW()-1</f>
        <v/>
      </c>
      <c r="B23" s="11">
        <f>EOMONTH(DATE(2026,1,1),A23-1)</f>
        <v/>
      </c>
      <c r="C23" s="8" t="n">
        <v>0.03660869565217391</v>
      </c>
      <c r="D23" s="4" t="inlineStr">
        <is>
          <t>ASSUMPTION — placeholder forward; not a live Chatham quote. Paste Chatham forwards here.</t>
        </is>
      </c>
    </row>
    <row r="24">
      <c r="A24" s="10">
        <f>ROW()-1</f>
        <v/>
      </c>
      <c r="B24" s="11">
        <f>EOMONTH(DATE(2026,1,1),A24-1)</f>
        <v/>
      </c>
      <c r="C24" s="8" t="n">
        <v>0.03630434782608696</v>
      </c>
      <c r="D24" s="4" t="inlineStr">
        <is>
          <t>ASSUMPTION — placeholder forward; not a live Chatham quote. Paste Chatham forwards here.</t>
        </is>
      </c>
    </row>
    <row r="25">
      <c r="A25" s="10">
        <f>ROW()-1</f>
        <v/>
      </c>
      <c r="B25" s="11">
        <f>EOMONTH(DATE(2026,1,1),A25-1)</f>
        <v/>
      </c>
      <c r="C25" s="8" t="n">
        <v>0.036</v>
      </c>
      <c r="D25" s="4" t="inlineStr">
        <is>
          <t>ASSUMPTION — placeholder forward; not a live Chatham quote. Paste Chatham forwards here.</t>
        </is>
      </c>
    </row>
    <row r="26">
      <c r="A26" s="10">
        <f>ROW()-1</f>
        <v/>
      </c>
      <c r="B26" s="11">
        <f>EOMONTH(DATE(2026,1,1),A26-1)</f>
        <v/>
      </c>
      <c r="C26" s="8" t="n">
        <v>0.036</v>
      </c>
      <c r="D26" s="4" t="inlineStr">
        <is>
          <t>ASSUMPTION — placeholder forward; not a live Chatham quote. Paste Chatham forwards here.</t>
        </is>
      </c>
    </row>
    <row r="27">
      <c r="A27" s="10">
        <f>ROW()-1</f>
        <v/>
      </c>
      <c r="B27" s="11">
        <f>EOMONTH(DATE(2026,1,1),A27-1)</f>
        <v/>
      </c>
      <c r="C27" s="8" t="n">
        <v>0.036</v>
      </c>
      <c r="D27" s="4" t="inlineStr">
        <is>
          <t>ASSUMPTION — placeholder forward; not a live Chatham quote. Paste Chatham forwards here.</t>
        </is>
      </c>
    </row>
    <row r="28">
      <c r="A28" s="10">
        <f>ROW()-1</f>
        <v/>
      </c>
      <c r="B28" s="11">
        <f>EOMONTH(DATE(2026,1,1),A28-1)</f>
        <v/>
      </c>
      <c r="C28" s="8" t="n">
        <v>0.036</v>
      </c>
      <c r="D28" s="4" t="inlineStr">
        <is>
          <t>ASSUMPTION — placeholder forward; not a live Chatham quote. Paste Chatham forwards here.</t>
        </is>
      </c>
    </row>
    <row r="29">
      <c r="A29" s="10">
        <f>ROW()-1</f>
        <v/>
      </c>
      <c r="B29" s="11">
        <f>EOMONTH(DATE(2026,1,1),A29-1)</f>
        <v/>
      </c>
      <c r="C29" s="8" t="n">
        <v>0.036</v>
      </c>
      <c r="D29" s="4" t="inlineStr">
        <is>
          <t>ASSUMPTION — placeholder forward; not a live Chatham quote. Paste Chatham forwards here.</t>
        </is>
      </c>
    </row>
    <row r="30">
      <c r="A30" s="10">
        <f>ROW()-1</f>
        <v/>
      </c>
      <c r="B30" s="11">
        <f>EOMONTH(DATE(2026,1,1),A30-1)</f>
        <v/>
      </c>
      <c r="C30" s="8" t="n">
        <v>0.036</v>
      </c>
      <c r="D30" s="4" t="inlineStr">
        <is>
          <t>ASSUMPTION — placeholder forward; not a live Chatham quote. Paste Chatham forwards here.</t>
        </is>
      </c>
    </row>
    <row r="31">
      <c r="A31" s="10">
        <f>ROW()-1</f>
        <v/>
      </c>
      <c r="B31" s="11">
        <f>EOMONTH(DATE(2026,1,1),A31-1)</f>
        <v/>
      </c>
      <c r="C31" s="8" t="n">
        <v>0.036</v>
      </c>
      <c r="D31" s="4" t="inlineStr">
        <is>
          <t>ASSUMPTION — placeholder forward; not a live Chatham quote. Paste Chatham forwards here.</t>
        </is>
      </c>
    </row>
    <row r="32">
      <c r="A32" s="10">
        <f>ROW()-1</f>
        <v/>
      </c>
      <c r="B32" s="11">
        <f>EOMONTH(DATE(2026,1,1),A32-1)</f>
        <v/>
      </c>
      <c r="C32" s="8" t="n">
        <v>0.036</v>
      </c>
      <c r="D32" s="4" t="inlineStr">
        <is>
          <t>ASSUMPTION — placeholder forward; not a live Chatham quote. Paste Chatham forwards here.</t>
        </is>
      </c>
    </row>
    <row r="33">
      <c r="A33" s="10">
        <f>ROW()-1</f>
        <v/>
      </c>
      <c r="B33" s="11">
        <f>EOMONTH(DATE(2026,1,1),A33-1)</f>
        <v/>
      </c>
      <c r="C33" s="8" t="n">
        <v>0.036</v>
      </c>
      <c r="D33" s="4" t="inlineStr">
        <is>
          <t>ASSUMPTION — placeholder forward; not a live Chatham quote. Paste Chatham forwards here.</t>
        </is>
      </c>
    </row>
    <row r="34">
      <c r="A34" s="10">
        <f>ROW()-1</f>
        <v/>
      </c>
      <c r="B34" s="11">
        <f>EOMONTH(DATE(2026,1,1),A34-1)</f>
        <v/>
      </c>
      <c r="C34" s="8" t="n">
        <v>0.036</v>
      </c>
      <c r="D34" s="4" t="inlineStr">
        <is>
          <t>ASSUMPTION — placeholder forward; not a live Chatham quote. Paste Chatham forwards here.</t>
        </is>
      </c>
    </row>
    <row r="35">
      <c r="A35" s="10">
        <f>ROW()-1</f>
        <v/>
      </c>
      <c r="B35" s="11">
        <f>EOMONTH(DATE(2026,1,1),A35-1)</f>
        <v/>
      </c>
      <c r="C35" s="8" t="n">
        <v>0.036</v>
      </c>
      <c r="D35" s="4" t="inlineStr">
        <is>
          <t>ASSUMPTION — placeholder forward; not a live Chatham quote. Paste Chatham forwards here.</t>
        </is>
      </c>
    </row>
    <row r="36">
      <c r="A36" s="10">
        <f>ROW()-1</f>
        <v/>
      </c>
      <c r="B36" s="11">
        <f>EOMONTH(DATE(2026,1,1),A36-1)</f>
        <v/>
      </c>
      <c r="C36" s="8" t="n">
        <v>0.036</v>
      </c>
      <c r="D36" s="4" t="inlineStr">
        <is>
          <t>ASSUMPTION — placeholder forward; not a live Chatham quote. Paste Chatham forwards here.</t>
        </is>
      </c>
    </row>
    <row r="37">
      <c r="A37" s="10">
        <f>ROW()-1</f>
        <v/>
      </c>
      <c r="B37" s="11">
        <f>EOMONTH(DATE(2026,1,1),A37-1)</f>
        <v/>
      </c>
      <c r="C37" s="8" t="n">
        <v>0.036</v>
      </c>
      <c r="D37" s="4" t="inlineStr">
        <is>
          <t>ASSUMPTION — placeholder forward; not a live Chatham quote. Paste Chatham forwards here.</t>
        </is>
      </c>
    </row>
    <row r="38">
      <c r="A38" s="10">
        <f>ROW()-1</f>
        <v/>
      </c>
      <c r="B38" s="11">
        <f>EOMONTH(DATE(2026,1,1),A38-1)</f>
        <v/>
      </c>
      <c r="C38" s="8" t="n">
        <v>0.036</v>
      </c>
      <c r="D38" s="4" t="inlineStr">
        <is>
          <t>ASSUMPTION — placeholder forward; not a live Chatham quote. Paste Chatham forwards here.</t>
        </is>
      </c>
    </row>
    <row r="39">
      <c r="A39" s="10">
        <f>ROW()-1</f>
        <v/>
      </c>
      <c r="B39" s="11">
        <f>EOMONTH(DATE(2026,1,1),A39-1)</f>
        <v/>
      </c>
      <c r="C39" s="8" t="n">
        <v>0.036</v>
      </c>
      <c r="D39" s="4" t="inlineStr">
        <is>
          <t>ASSUMPTION — placeholder forward; not a live Chatham quote. Paste Chatham forwards here.</t>
        </is>
      </c>
    </row>
    <row r="40">
      <c r="A40" s="10">
        <f>ROW()-1</f>
        <v/>
      </c>
      <c r="B40" s="11">
        <f>EOMONTH(DATE(2026,1,1),A40-1)</f>
        <v/>
      </c>
      <c r="C40" s="8" t="n">
        <v>0.036</v>
      </c>
      <c r="D40" s="4" t="inlineStr">
        <is>
          <t>ASSUMPTION — placeholder forward; not a live Chatham quote. Paste Chatham forwards here.</t>
        </is>
      </c>
    </row>
    <row r="41">
      <c r="A41" s="10">
        <f>ROW()-1</f>
        <v/>
      </c>
      <c r="B41" s="11">
        <f>EOMONTH(DATE(2026,1,1),A41-1)</f>
        <v/>
      </c>
      <c r="C41" s="8" t="n">
        <v>0.036</v>
      </c>
      <c r="D41" s="4" t="inlineStr">
        <is>
          <t>ASSUMPTION — placeholder forward; not a live Chatham quote. Paste Chatham forwards here.</t>
        </is>
      </c>
    </row>
    <row r="42">
      <c r="A42" s="10">
        <f>ROW()-1</f>
        <v/>
      </c>
      <c r="B42" s="11">
        <f>EOMONTH(DATE(2026,1,1),A42-1)</f>
        <v/>
      </c>
      <c r="C42" s="8" t="n">
        <v>0.036</v>
      </c>
      <c r="D42" s="4" t="inlineStr">
        <is>
          <t>ASSUMPTION — placeholder forward; not a live Chatham quote. Paste Chatham forwards here.</t>
        </is>
      </c>
    </row>
    <row r="43">
      <c r="A43" s="10">
        <f>ROW()-1</f>
        <v/>
      </c>
      <c r="B43" s="11">
        <f>EOMONTH(DATE(2026,1,1),A43-1)</f>
        <v/>
      </c>
      <c r="C43" s="8" t="n">
        <v>0.036</v>
      </c>
      <c r="D43" s="4" t="inlineStr">
        <is>
          <t>ASSUMPTION — placeholder forward; not a live Chatham quote. Paste Chatham forwards here.</t>
        </is>
      </c>
    </row>
    <row r="44">
      <c r="A44" s="10">
        <f>ROW()-1</f>
        <v/>
      </c>
      <c r="B44" s="11">
        <f>EOMONTH(DATE(2026,1,1),A44-1)</f>
        <v/>
      </c>
      <c r="C44" s="8" t="n">
        <v>0.036</v>
      </c>
      <c r="D44" s="4" t="inlineStr">
        <is>
          <t>ASSUMPTION — placeholder forward; not a live Chatham quote. Paste Chatham forwards here.</t>
        </is>
      </c>
    </row>
    <row r="45">
      <c r="A45" s="10">
        <f>ROW()-1</f>
        <v/>
      </c>
      <c r="B45" s="11">
        <f>EOMONTH(DATE(2026,1,1),A45-1)</f>
        <v/>
      </c>
      <c r="C45" s="8" t="n">
        <v>0.036</v>
      </c>
      <c r="D45" s="4" t="inlineStr">
        <is>
          <t>ASSUMPTION — placeholder forward; not a live Chatham quote. Paste Chatham forwards here.</t>
        </is>
      </c>
    </row>
    <row r="46">
      <c r="A46" s="10">
        <f>ROW()-1</f>
        <v/>
      </c>
      <c r="B46" s="11">
        <f>EOMONTH(DATE(2026,1,1),A46-1)</f>
        <v/>
      </c>
      <c r="C46" s="8" t="n">
        <v>0.036</v>
      </c>
      <c r="D46" s="4" t="inlineStr">
        <is>
          <t>ASSUMPTION — placeholder forward; not a live Chatham quote. Paste Chatham forwards here.</t>
        </is>
      </c>
    </row>
    <row r="47">
      <c r="A47" s="10">
        <f>ROW()-1</f>
        <v/>
      </c>
      <c r="B47" s="11">
        <f>EOMONTH(DATE(2026,1,1),A47-1)</f>
        <v/>
      </c>
      <c r="C47" s="8" t="n">
        <v>0.036</v>
      </c>
      <c r="D47" s="4" t="inlineStr">
        <is>
          <t>ASSUMPTION — placeholder forward; not a live Chatham quote. Paste Chatham forwards here.</t>
        </is>
      </c>
    </row>
    <row r="48">
      <c r="A48" s="10">
        <f>ROW()-1</f>
        <v/>
      </c>
      <c r="B48" s="11">
        <f>EOMONTH(DATE(2026,1,1),A48-1)</f>
        <v/>
      </c>
      <c r="C48" s="8" t="n">
        <v>0.036</v>
      </c>
      <c r="D48" s="4" t="inlineStr">
        <is>
          <t>ASSUMPTION — placeholder forward; not a live Chatham quote. Paste Chatham forwards here.</t>
        </is>
      </c>
    </row>
    <row r="49">
      <c r="A49" s="10">
        <f>ROW()-1</f>
        <v/>
      </c>
      <c r="B49" s="11">
        <f>EOMONTH(DATE(2026,1,1),A49-1)</f>
        <v/>
      </c>
      <c r="C49" s="8" t="n">
        <v>0.036</v>
      </c>
      <c r="D49" s="4" t="inlineStr">
        <is>
          <t>ASSUMPTION — placeholder forward; not a live Chatham quote. Paste Chatham forwards here.</t>
        </is>
      </c>
    </row>
    <row r="50">
      <c r="A50" s="10">
        <f>ROW()-1</f>
        <v/>
      </c>
      <c r="B50" s="11">
        <f>EOMONTH(DATE(2026,1,1),A50-1)</f>
        <v/>
      </c>
      <c r="C50" s="8" t="n">
        <v>0.036</v>
      </c>
      <c r="D50" s="4" t="inlineStr">
        <is>
          <t>ASSUMPTION — placeholder forward; not a live Chatham quote. Paste Chatham forwards here.</t>
        </is>
      </c>
    </row>
    <row r="51">
      <c r="A51" s="10">
        <f>ROW()-1</f>
        <v/>
      </c>
      <c r="B51" s="11">
        <f>EOMONTH(DATE(2026,1,1),A51-1)</f>
        <v/>
      </c>
      <c r="C51" s="8" t="n">
        <v>0.036</v>
      </c>
      <c r="D51" s="4" t="inlineStr">
        <is>
          <t>ASSUMPTION — placeholder forward; not a live Chatham quote. Paste Chatham forwards here.</t>
        </is>
      </c>
    </row>
    <row r="52">
      <c r="A52" s="10">
        <f>ROW()-1</f>
        <v/>
      </c>
      <c r="B52" s="11">
        <f>EOMONTH(DATE(2026,1,1),A52-1)</f>
        <v/>
      </c>
      <c r="C52" s="8" t="n">
        <v>0.036</v>
      </c>
      <c r="D52" s="4" t="inlineStr">
        <is>
          <t>ASSUMPTION — placeholder forward; not a live Chatham quote. Paste Chatham forwards here.</t>
        </is>
      </c>
    </row>
    <row r="53">
      <c r="A53" s="10">
        <f>ROW()-1</f>
        <v/>
      </c>
      <c r="B53" s="11">
        <f>EOMONTH(DATE(2026,1,1),A53-1)</f>
        <v/>
      </c>
      <c r="C53" s="8" t="n">
        <v>0.036</v>
      </c>
      <c r="D53" s="4" t="inlineStr">
        <is>
          <t>ASSUMPTION — placeholder forward; not a live Chatham quote. Paste Chatham forwards here.</t>
        </is>
      </c>
    </row>
    <row r="54">
      <c r="A54" s="10">
        <f>ROW()-1</f>
        <v/>
      </c>
      <c r="B54" s="11">
        <f>EOMONTH(DATE(2026,1,1),A54-1)</f>
        <v/>
      </c>
      <c r="C54" s="8" t="n">
        <v>0.036</v>
      </c>
      <c r="D54" s="4" t="inlineStr">
        <is>
          <t>ASSUMPTION — placeholder forward; not a live Chatham quote. Paste Chatham forwards here.</t>
        </is>
      </c>
    </row>
    <row r="55">
      <c r="A55" s="10">
        <f>ROW()-1</f>
        <v/>
      </c>
      <c r="B55" s="11">
        <f>EOMONTH(DATE(2026,1,1),A55-1)</f>
        <v/>
      </c>
      <c r="C55" s="8" t="n">
        <v>0.036</v>
      </c>
      <c r="D55" s="4" t="inlineStr">
        <is>
          <t>ASSUMPTION — placeholder forward; not a live Chatham quote. Paste Chatham forwards here.</t>
        </is>
      </c>
    </row>
    <row r="56">
      <c r="A56" s="10">
        <f>ROW()-1</f>
        <v/>
      </c>
      <c r="B56" s="11">
        <f>EOMONTH(DATE(2026,1,1),A56-1)</f>
        <v/>
      </c>
      <c r="C56" s="8" t="n">
        <v>0.036</v>
      </c>
      <c r="D56" s="4" t="inlineStr">
        <is>
          <t>ASSUMPTION — placeholder forward; not a live Chatham quote. Paste Chatham forwards here.</t>
        </is>
      </c>
    </row>
    <row r="57">
      <c r="A57" s="10">
        <f>ROW()-1</f>
        <v/>
      </c>
      <c r="B57" s="11">
        <f>EOMONTH(DATE(2026,1,1),A57-1)</f>
        <v/>
      </c>
      <c r="C57" s="8" t="n">
        <v>0.036</v>
      </c>
      <c r="D57" s="4" t="inlineStr">
        <is>
          <t>ASSUMPTION — placeholder forward; not a live Chatham quote. Paste Chatham forwards here.</t>
        </is>
      </c>
    </row>
    <row r="58">
      <c r="A58" s="10">
        <f>ROW()-1</f>
        <v/>
      </c>
      <c r="B58" s="11">
        <f>EOMONTH(DATE(2026,1,1),A58-1)</f>
        <v/>
      </c>
      <c r="C58" s="8" t="n">
        <v>0.036</v>
      </c>
      <c r="D58" s="4" t="inlineStr">
        <is>
          <t>ASSUMPTION — placeholder forward; not a live Chatham quote. Paste Chatham forwards here.</t>
        </is>
      </c>
    </row>
    <row r="59">
      <c r="A59" s="10">
        <f>ROW()-1</f>
        <v/>
      </c>
      <c r="B59" s="11">
        <f>EOMONTH(DATE(2026,1,1),A59-1)</f>
        <v/>
      </c>
      <c r="C59" s="8" t="n">
        <v>0.036</v>
      </c>
      <c r="D59" s="4" t="inlineStr">
        <is>
          <t>ASSUMPTION — placeholder forward; not a live Chatham quote. Paste Chatham forwards here.</t>
        </is>
      </c>
    </row>
    <row r="60">
      <c r="A60" s="10">
        <f>ROW()-1</f>
        <v/>
      </c>
      <c r="B60" s="11">
        <f>EOMONTH(DATE(2026,1,1),A60-1)</f>
        <v/>
      </c>
      <c r="C60" s="8" t="n">
        <v>0.036</v>
      </c>
      <c r="D60" s="4" t="inlineStr">
        <is>
          <t>ASSUMPTION — placeholder forward; not a live Chatham quote. Paste Chatham forwards here.</t>
        </is>
      </c>
    </row>
    <row r="61">
      <c r="A61" s="10">
        <f>ROW()-1</f>
        <v/>
      </c>
      <c r="B61" s="11">
        <f>EOMONTH(DATE(2026,1,1),A61-1)</f>
        <v/>
      </c>
      <c r="C61" s="8" t="n">
        <v>0.036</v>
      </c>
      <c r="D61" s="4" t="inlineStr">
        <is>
          <t>ASSUMPTION — placeholder forward; not a live Chatham quote. Paste Chatham forwards here.</t>
        </is>
      </c>
    </row>
    <row r="62">
      <c r="A62" s="10">
        <f>ROW()-1</f>
        <v/>
      </c>
      <c r="B62" s="11">
        <f>EOMONTH(DATE(2026,1,1),A62-1)</f>
        <v/>
      </c>
      <c r="C62" s="8" t="n">
        <v>0.036</v>
      </c>
      <c r="D62" s="4" t="inlineStr">
        <is>
          <t>ASSUMPTION — placeholder forward; not a live Chatham quote. Paste Chatham forwards here.</t>
        </is>
      </c>
    </row>
    <row r="63">
      <c r="A63" s="10">
        <f>ROW()-1</f>
        <v/>
      </c>
      <c r="B63" s="11">
        <f>EOMONTH(DATE(2026,1,1),A63-1)</f>
        <v/>
      </c>
      <c r="C63" s="8" t="n">
        <v>0.036</v>
      </c>
      <c r="D63" s="4" t="inlineStr">
        <is>
          <t>ASSUMPTION — placeholder forward; not a live Chatham quote. Paste Chatham forwards here.</t>
        </is>
      </c>
    </row>
    <row r="64">
      <c r="A64" s="10">
        <f>ROW()-1</f>
        <v/>
      </c>
      <c r="B64" s="11">
        <f>EOMONTH(DATE(2026,1,1),A64-1)</f>
        <v/>
      </c>
      <c r="C64" s="8" t="n">
        <v>0.036</v>
      </c>
      <c r="D64" s="4" t="inlineStr">
        <is>
          <t>ASSUMPTION — placeholder forward; not a live Chatham quote. Paste Chatham forwards here.</t>
        </is>
      </c>
    </row>
    <row r="65">
      <c r="A65" s="10">
        <f>ROW()-1</f>
        <v/>
      </c>
      <c r="B65" s="11">
        <f>EOMONTH(DATE(2026,1,1),A65-1)</f>
        <v/>
      </c>
      <c r="C65" s="8" t="n">
        <v>0.036</v>
      </c>
      <c r="D65" s="4" t="inlineStr">
        <is>
          <t>ASSUMPTION — placeholder forward; not a live Chatham quote. Paste Chatham forwards here.</t>
        </is>
      </c>
    </row>
    <row r="66">
      <c r="A66" s="10">
        <f>ROW()-1</f>
        <v/>
      </c>
      <c r="B66" s="11">
        <f>EOMONTH(DATE(2026,1,1),A66-1)</f>
        <v/>
      </c>
      <c r="C66" s="8" t="n">
        <v>0.036</v>
      </c>
      <c r="D66" s="4" t="inlineStr">
        <is>
          <t>ASSUMPTION — placeholder forward; not a live Chatham quote. Paste Chatham forwards here.</t>
        </is>
      </c>
    </row>
    <row r="67">
      <c r="A67" s="10">
        <f>ROW()-1</f>
        <v/>
      </c>
      <c r="B67" s="11">
        <f>EOMONTH(DATE(2026,1,1),A67-1)</f>
        <v/>
      </c>
      <c r="C67" s="8" t="n">
        <v>0.036</v>
      </c>
      <c r="D67" s="4" t="inlineStr">
        <is>
          <t>ASSUMPTION — placeholder forward; not a live Chatham quote. Paste Chatham forwards here.</t>
        </is>
      </c>
    </row>
    <row r="68">
      <c r="A68" s="10">
        <f>ROW()-1</f>
        <v/>
      </c>
      <c r="B68" s="11">
        <f>EOMONTH(DATE(2026,1,1),A68-1)</f>
        <v/>
      </c>
      <c r="C68" s="8" t="n">
        <v>0.036</v>
      </c>
      <c r="D68" s="4" t="inlineStr">
        <is>
          <t>ASSUMPTION — placeholder forward; not a live Chatham quote. Paste Chatham forwards here.</t>
        </is>
      </c>
    </row>
    <row r="69">
      <c r="A69" s="10">
        <f>ROW()-1</f>
        <v/>
      </c>
      <c r="B69" s="11">
        <f>EOMONTH(DATE(2026,1,1),A69-1)</f>
        <v/>
      </c>
      <c r="C69" s="8" t="n">
        <v>0.036</v>
      </c>
      <c r="D69" s="4" t="inlineStr">
        <is>
          <t>ASSUMPTION — placeholder forward; not a live Chatham quote. Paste Chatham forwards here.</t>
        </is>
      </c>
    </row>
    <row r="70">
      <c r="A70" s="10">
        <f>ROW()-1</f>
        <v/>
      </c>
      <c r="B70" s="11">
        <f>EOMONTH(DATE(2026,1,1),A70-1)</f>
        <v/>
      </c>
      <c r="C70" s="8" t="n">
        <v>0.036</v>
      </c>
      <c r="D70" s="4" t="inlineStr">
        <is>
          <t>ASSUMPTION — placeholder forward; not a live Chatham quote. Paste Chatham forwards here.</t>
        </is>
      </c>
    </row>
    <row r="71">
      <c r="A71" s="10">
        <f>ROW()-1</f>
        <v/>
      </c>
      <c r="B71" s="11">
        <f>EOMONTH(DATE(2026,1,1),A71-1)</f>
        <v/>
      </c>
      <c r="C71" s="8" t="n">
        <v>0.036</v>
      </c>
      <c r="D71" s="4" t="inlineStr">
        <is>
          <t>ASSUMPTION — placeholder forward; not a live Chatham quote. Paste Chatham forwards here.</t>
        </is>
      </c>
    </row>
    <row r="72">
      <c r="A72" s="10">
        <f>ROW()-1</f>
        <v/>
      </c>
      <c r="B72" s="11">
        <f>EOMONTH(DATE(2026,1,1),A72-1)</f>
        <v/>
      </c>
      <c r="C72" s="8" t="n">
        <v>0.036</v>
      </c>
      <c r="D72" s="4" t="inlineStr">
        <is>
          <t>ASSUMPTION — placeholder forward; not a live Chatham quote. Paste Chatham forwards here.</t>
        </is>
      </c>
    </row>
    <row r="73">
      <c r="A73" s="10">
        <f>ROW()-1</f>
        <v/>
      </c>
      <c r="B73" s="11">
        <f>EOMONTH(DATE(2026,1,1),A73-1)</f>
        <v/>
      </c>
      <c r="C73" s="8" t="n">
        <v>0.036</v>
      </c>
      <c r="D73" s="4" t="inlineStr">
        <is>
          <t>ASSUMPTION — placeholder forward; not a live Chatham quote. Paste Chatham forwards here.</t>
        </is>
      </c>
    </row>
    <row r="74">
      <c r="A74" s="10">
        <f>ROW()-1</f>
        <v/>
      </c>
      <c r="B74" s="11">
        <f>EOMONTH(DATE(2026,1,1),A74-1)</f>
        <v/>
      </c>
      <c r="C74" s="8" t="n">
        <v>0.036</v>
      </c>
      <c r="D74" s="4" t="inlineStr">
        <is>
          <t>ASSUMPTION — placeholder forward; not a live Chatham quote. Paste Chatham forwards here.</t>
        </is>
      </c>
    </row>
    <row r="75">
      <c r="A75" s="10">
        <f>ROW()-1</f>
        <v/>
      </c>
      <c r="B75" s="11">
        <f>EOMONTH(DATE(2026,1,1),A75-1)</f>
        <v/>
      </c>
      <c r="C75" s="8" t="n">
        <v>0.036</v>
      </c>
      <c r="D75" s="4" t="inlineStr">
        <is>
          <t>ASSUMPTION — placeholder forward; not a live Chatham quote. Paste Chatham forwards here.</t>
        </is>
      </c>
    </row>
    <row r="76">
      <c r="A76" s="10">
        <f>ROW()-1</f>
        <v/>
      </c>
      <c r="B76" s="11">
        <f>EOMONTH(DATE(2026,1,1),A76-1)</f>
        <v/>
      </c>
      <c r="C76" s="8" t="n">
        <v>0.036</v>
      </c>
      <c r="D76" s="4" t="inlineStr">
        <is>
          <t>ASSUMPTION — placeholder forward; not a live Chatham quote. Paste Chatham forwards here.</t>
        </is>
      </c>
    </row>
    <row r="77">
      <c r="A77" s="10">
        <f>ROW()-1</f>
        <v/>
      </c>
      <c r="B77" s="11">
        <f>EOMONTH(DATE(2026,1,1),A77-1)</f>
        <v/>
      </c>
      <c r="C77" s="8" t="n">
        <v>0.036</v>
      </c>
      <c r="D77" s="4" t="inlineStr">
        <is>
          <t>ASSUMPTION — placeholder forward; not a live Chatham quote. Paste Chatham forwards here.</t>
        </is>
      </c>
    </row>
    <row r="78">
      <c r="A78" s="10">
        <f>ROW()-1</f>
        <v/>
      </c>
      <c r="B78" s="11">
        <f>EOMONTH(DATE(2026,1,1),A78-1)</f>
        <v/>
      </c>
      <c r="C78" s="8" t="n">
        <v>0.036</v>
      </c>
      <c r="D78" s="4" t="inlineStr">
        <is>
          <t>ASSUMPTION — placeholder forward; not a live Chatham quote. Paste Chatham forwards here.</t>
        </is>
      </c>
    </row>
    <row r="79">
      <c r="A79" s="10">
        <f>ROW()-1</f>
        <v/>
      </c>
      <c r="B79" s="11">
        <f>EOMONTH(DATE(2026,1,1),A79-1)</f>
        <v/>
      </c>
      <c r="C79" s="8" t="n">
        <v>0.036</v>
      </c>
      <c r="D79" s="4" t="inlineStr">
        <is>
          <t>ASSUMPTION — placeholder forward; not a live Chatham quote. Paste Chatham forwards here.</t>
        </is>
      </c>
    </row>
    <row r="80">
      <c r="A80" s="10">
        <f>ROW()-1</f>
        <v/>
      </c>
      <c r="B80" s="11">
        <f>EOMONTH(DATE(2026,1,1),A80-1)</f>
        <v/>
      </c>
      <c r="C80" s="8" t="n">
        <v>0.036</v>
      </c>
      <c r="D80" s="4" t="inlineStr">
        <is>
          <t>ASSUMPTION — placeholder forward; not a live Chatham quote. Paste Chatham forwards here.</t>
        </is>
      </c>
    </row>
    <row r="81">
      <c r="A81" s="10">
        <f>ROW()-1</f>
        <v/>
      </c>
      <c r="B81" s="11">
        <f>EOMONTH(DATE(2026,1,1),A81-1)</f>
        <v/>
      </c>
      <c r="C81" s="8" t="n">
        <v>0.036</v>
      </c>
      <c r="D81" s="4" t="inlineStr">
        <is>
          <t>ASSUMPTION — placeholder forward; not a live Chatham quote. Paste Chatham forwards here.</t>
        </is>
      </c>
    </row>
    <row r="82">
      <c r="A82" s="10">
        <f>ROW()-1</f>
        <v/>
      </c>
      <c r="B82" s="11">
        <f>EOMONTH(DATE(2026,1,1),A82-1)</f>
        <v/>
      </c>
      <c r="C82" s="8" t="n">
        <v>0.036</v>
      </c>
      <c r="D82" s="4" t="inlineStr">
        <is>
          <t>ASSUMPTION — placeholder forward; not a live Chatham quote. Paste Chatham forwards here.</t>
        </is>
      </c>
    </row>
    <row r="83">
      <c r="A83" s="10">
        <f>ROW()-1</f>
        <v/>
      </c>
      <c r="B83" s="11">
        <f>EOMONTH(DATE(2026,1,1),A83-1)</f>
        <v/>
      </c>
      <c r="C83" s="8" t="n">
        <v>0.036</v>
      </c>
      <c r="D83" s="4" t="inlineStr">
        <is>
          <t>ASSUMPTION — placeholder forward; not a live Chatham quote. Paste Chatham forwards here.</t>
        </is>
      </c>
    </row>
    <row r="84">
      <c r="A84" s="10">
        <f>ROW()-1</f>
        <v/>
      </c>
      <c r="B84" s="11">
        <f>EOMONTH(DATE(2026,1,1),A84-1)</f>
        <v/>
      </c>
      <c r="C84" s="8" t="n">
        <v>0.036</v>
      </c>
      <c r="D84" s="4" t="inlineStr">
        <is>
          <t>ASSUMPTION — placeholder forward; not a live Chatham quote. Paste Chatham forwards here.</t>
        </is>
      </c>
    </row>
    <row r="85">
      <c r="A85" s="10">
        <f>ROW()-1</f>
        <v/>
      </c>
      <c r="B85" s="11">
        <f>EOMONTH(DATE(2026,1,1),A85-1)</f>
        <v/>
      </c>
      <c r="C85" s="8" t="n">
        <v>0.036</v>
      </c>
      <c r="D85" s="4" t="inlineStr">
        <is>
          <t>ASSUMPTION — placeholder forward; not a live Chatham quote. Paste Chatham forwards here.</t>
        </is>
      </c>
    </row>
  </sheetData>
  <autoFilter ref="A2:D86"/>
  <pageMargins left="0.4" right="0.4" top="0.6" bottom="0.5" header="0.25" footer="0.25"/>
  <pageSetup orientation="landscape" paperSize="3" fitToHeight="0" fitToWidth="1"/>
  <headerFooter>
    <oddHeader>&amp;LElite Luxury Mixed-Use  |  Illustrative template&amp;CSOFR forwards — paste target, not a live quote</oddHeader>
    <oddFooter>&amp;LNot a live deal  |  Not an offering  |  Not investment advice&amp;RPage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33"/>
  <sheetViews>
    <sheetView view="pageBreakPreview" zoomScale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0" customWidth="1" min="3" max="3"/>
    <col width="88" customWidth="1" min="4" max="4"/>
  </cols>
  <sheetData>
    <row r="1" ht="22" customHeight="1">
      <c r="A1" s="1" t="inlineStr">
        <is>
          <t>SourcesUses</t>
        </is>
      </c>
    </row>
    <row r="2">
      <c r="A2" s="3" t="inlineStr">
        <is>
          <t>Line</t>
        </is>
      </c>
      <c r="B2" s="3" t="inlineStr">
        <is>
          <t>Unit</t>
        </is>
      </c>
      <c r="C2" s="3" t="inlineStr">
        <is>
          <t>Amount</t>
        </is>
      </c>
      <c r="D2" s="3" t="inlineStr">
        <is>
          <t>Definition</t>
        </is>
      </c>
    </row>
    <row r="4">
      <c r="A4" s="3" t="inlineStr">
        <is>
          <t>Land</t>
        </is>
      </c>
      <c r="B4" s="4" t="inlineStr">
        <is>
          <t>$</t>
        </is>
      </c>
      <c r="C4" s="12">
        <f>LAND_COST</f>
        <v/>
      </c>
      <c r="D4" s="4" t="inlineStr">
        <is>
          <t>Named input</t>
        </is>
      </c>
    </row>
    <row r="5">
      <c r="A5" s="3" t="inlineStr">
        <is>
          <t>Acquisition costs</t>
        </is>
      </c>
      <c r="B5" s="4" t="inlineStr">
        <is>
          <t>$</t>
        </is>
      </c>
      <c r="C5" s="12">
        <f>LAND_COST*ACQ_COST_PCT</f>
        <v/>
      </c>
      <c r="D5" s="4" t="inlineStr">
        <is>
          <t>Land times acquisition rate</t>
        </is>
      </c>
    </row>
    <row r="6">
      <c r="A6" s="3" t="inlineStr">
        <is>
          <t>Land and acquisition</t>
        </is>
      </c>
      <c r="B6" s="4" t="inlineStr">
        <is>
          <t>$</t>
        </is>
      </c>
      <c r="C6" s="12">
        <f>C4+C5</f>
        <v/>
      </c>
      <c r="D6" s="4" t="inlineStr">
        <is>
          <t>Funded at month 1</t>
        </is>
      </c>
    </row>
    <row r="7">
      <c r="A7" s="3" t="inlineStr">
        <is>
          <t>Hard costs residential</t>
        </is>
      </c>
      <c r="B7" s="4" t="inlineStr">
        <is>
          <t>$</t>
        </is>
      </c>
      <c r="C7" s="12">
        <f>RES_GSF*HC_PSF_RES</f>
        <v/>
      </c>
      <c r="D7" s="4" t="inlineStr">
        <is>
          <t>Area times unit rate</t>
        </is>
      </c>
    </row>
    <row r="8">
      <c r="A8" s="3" t="inlineStr">
        <is>
          <t>Hard costs hotel</t>
        </is>
      </c>
      <c r="B8" s="4" t="inlineStr">
        <is>
          <t>$</t>
        </is>
      </c>
      <c r="C8" s="12">
        <f>HOTEL_GSF*HC_PSF_HOTEL</f>
        <v/>
      </c>
      <c r="D8" s="4" t="inlineStr">
        <is>
          <t>Area times unit rate</t>
        </is>
      </c>
    </row>
    <row r="9">
      <c r="A9" s="3" t="inlineStr">
        <is>
          <t>Hard costs retail</t>
        </is>
      </c>
      <c r="B9" s="4" t="inlineStr">
        <is>
          <t>$</t>
        </is>
      </c>
      <c r="C9" s="12">
        <f>RETAIL_GSF*HC_PSF_RETAIL</f>
        <v/>
      </c>
      <c r="D9" s="4" t="inlineStr">
        <is>
          <t>Area times unit rate</t>
        </is>
      </c>
    </row>
    <row r="10">
      <c r="A10" s="3" t="inlineStr">
        <is>
          <t>Hard costs</t>
        </is>
      </c>
      <c r="B10" s="4" t="inlineStr">
        <is>
          <t>$</t>
        </is>
      </c>
      <c r="C10" s="12">
        <f>C7+C8+C9</f>
        <v/>
      </c>
      <c r="D10" s="4" t="inlineStr">
        <is>
          <t>Sum of hard-cost lines</t>
        </is>
      </c>
    </row>
    <row r="11">
      <c r="A11" s="3" t="inlineStr">
        <is>
          <t>Contingency</t>
        </is>
      </c>
      <c r="B11" s="4" t="inlineStr">
        <is>
          <t>$</t>
        </is>
      </c>
      <c r="C11" s="12">
        <f>CONTINGENCY_PCT*C10</f>
        <v/>
      </c>
      <c r="D11" s="4" t="inlineStr">
        <is>
          <t>Percent of hard costs</t>
        </is>
      </c>
    </row>
    <row r="12">
      <c r="A12" s="3" t="inlineStr">
        <is>
          <t>Soft costs</t>
        </is>
      </c>
      <c r="B12" s="4" t="inlineStr">
        <is>
          <t>$</t>
        </is>
      </c>
      <c r="C12" s="12">
        <f>SOFTCOST_PCT*C10</f>
        <v/>
      </c>
      <c r="D12" s="4" t="inlineStr">
        <is>
          <t>Percent of hard costs</t>
        </is>
      </c>
    </row>
    <row r="13">
      <c r="A13" s="3" t="inlineStr">
        <is>
          <t>FF&amp;E hotel</t>
        </is>
      </c>
      <c r="B13" s="4" t="inlineStr">
        <is>
          <t>$</t>
        </is>
      </c>
      <c r="C13" s="12">
        <f>HOTEL_KEYS*FFE_PER_KEY</f>
        <v/>
      </c>
      <c r="D13" s="4" t="inlineStr">
        <is>
          <t>Keys times allowance</t>
        </is>
      </c>
    </row>
    <row r="14">
      <c r="A14" s="3" t="inlineStr">
        <is>
          <t>FF&amp;E retail</t>
        </is>
      </c>
      <c r="B14" s="4" t="inlineStr">
        <is>
          <t>$</t>
        </is>
      </c>
      <c r="C14" s="12">
        <f>RETAIL_GSF*FFE_PSF_RETAIL</f>
        <v/>
      </c>
      <c r="D14" s="4" t="inlineStr">
        <is>
          <t>Area times allowance</t>
        </is>
      </c>
    </row>
    <row r="15">
      <c r="A15" s="3" t="inlineStr">
        <is>
          <t>FF&amp;E</t>
        </is>
      </c>
      <c r="B15" s="4" t="inlineStr">
        <is>
          <t>$</t>
        </is>
      </c>
      <c r="C15" s="12">
        <f>C13+C14</f>
        <v/>
      </c>
      <c r="D15" s="4" t="inlineStr">
        <is>
          <t>Hotel plus retail</t>
        </is>
      </c>
    </row>
    <row r="16">
      <c r="A16" s="3" t="inlineStr">
        <is>
          <t>Developer fee base</t>
        </is>
      </c>
      <c r="B16" s="4" t="inlineStr">
        <is>
          <t>$</t>
        </is>
      </c>
      <c r="C16" s="12">
        <f>C6+C10+C11+C12+C15</f>
        <v/>
      </c>
      <c r="D16" s="4" t="inlineStr">
        <is>
          <t>Land, acquisition, hard, contingency, soft, FF&amp;E</t>
        </is>
      </c>
    </row>
    <row r="17">
      <c r="A17" s="3" t="inlineStr">
        <is>
          <t>Developer fee</t>
        </is>
      </c>
      <c r="B17" s="4" t="inlineStr">
        <is>
          <t>$</t>
        </is>
      </c>
      <c r="C17" s="12">
        <f>DEVFEE_PCT*C16</f>
        <v/>
      </c>
      <c r="D17" s="4" t="inlineStr">
        <is>
          <t>Percent of fee base</t>
        </is>
      </c>
    </row>
    <row r="18">
      <c r="A18" s="3" t="inlineStr">
        <is>
          <t>Uses excluding interest</t>
        </is>
      </c>
      <c r="B18" s="4" t="inlineStr">
        <is>
          <t>$</t>
        </is>
      </c>
      <c r="C18" s="12">
        <f>C16+C17</f>
        <v/>
      </c>
      <c r="D18" s="4" t="inlineStr">
        <is>
          <t>Fee base plus developer fee</t>
        </is>
      </c>
    </row>
    <row r="19">
      <c r="A19" s="3" t="inlineStr">
        <is>
          <t>Average SOFR during construction</t>
        </is>
      </c>
      <c r="B19" s="4" t="inlineStr">
        <is>
          <t>%</t>
        </is>
      </c>
      <c r="C19" s="13">
        <f>AVERAGE(SOFR!$C$2:INDEX(SOFR!$C$2:$C$85,CONSTR_MONTHS))</f>
        <v/>
      </c>
      <c r="D19" s="4" t="inlineStr">
        <is>
          <t>Arithmetic average of the paste-target forwards</t>
        </is>
      </c>
    </row>
    <row r="20">
      <c r="A20" s="3" t="inlineStr">
        <is>
          <t>Interest reserve</t>
        </is>
      </c>
      <c r="B20" s="4" t="inlineStr">
        <is>
          <t>$</t>
        </is>
      </c>
      <c r="C20" s="12">
        <f>LTC_PCT*C18*((C19+CT_SPREAD_PCT)/12)*CONSTR_MONTHS*AVG_DRAWN_FRAC</f>
        <v/>
      </c>
      <c r="D20" s="4" t="inlineStr">
        <is>
          <t>Linear estimate. No circular interest calculation.</t>
        </is>
      </c>
    </row>
    <row r="21">
      <c r="A21" s="3" t="inlineStr">
        <is>
          <t>Total uses</t>
        </is>
      </c>
      <c r="B21" s="4" t="inlineStr">
        <is>
          <t>$</t>
        </is>
      </c>
      <c r="C21" s="12">
        <f>(C18+C20)/(1-LTC_PCT*CT_COSTS_PCT)</f>
        <v/>
      </c>
      <c r="D21" s="4" t="inlineStr">
        <is>
          <t>Closed form so commitment = LTC% x total uses, with loan costs inside uses.</t>
        </is>
      </c>
    </row>
    <row r="22">
      <c r="A22" s="3" t="inlineStr">
        <is>
          <t>Construction commitment</t>
        </is>
      </c>
      <c r="B22" s="4" t="inlineStr">
        <is>
          <t>$</t>
        </is>
      </c>
      <c r="C22" s="12">
        <f>LTC_PCT*C21</f>
        <v/>
      </c>
      <c r="D22" s="4" t="inlineStr">
        <is>
          <t>LTC times total uses, including the interest reserve</t>
        </is>
      </c>
    </row>
    <row r="23">
      <c r="A23" s="3" t="inlineStr">
        <is>
          <t>Construction loan costs</t>
        </is>
      </c>
      <c r="B23" s="4" t="inlineStr">
        <is>
          <t>$</t>
        </is>
      </c>
      <c r="C23" s="12">
        <f>CT_COSTS_PCT*C22</f>
        <v/>
      </c>
      <c r="D23" s="4" t="inlineStr">
        <is>
          <t>Percent of commitment. Permanent financing costs are not here.</t>
        </is>
      </c>
    </row>
    <row r="24">
      <c r="A24" s="3" t="inlineStr">
        <is>
          <t>Uses component sum</t>
        </is>
      </c>
      <c r="B24" s="4" t="inlineStr">
        <is>
          <t>$</t>
        </is>
      </c>
      <c r="C24" s="12">
        <f>C18+C20+C23</f>
        <v/>
      </c>
      <c r="D24" s="4" t="inlineStr">
        <is>
          <t>Ex-interest plus reserve plus loan costs</t>
        </is>
      </c>
    </row>
    <row r="25">
      <c r="A25" s="3" t="inlineStr">
        <is>
          <t>Uses tie-out</t>
        </is>
      </c>
      <c r="B25" s="4" t="inlineStr">
        <is>
          <t>$</t>
        </is>
      </c>
      <c r="C25" s="14">
        <f>C24-C21</f>
        <v/>
      </c>
      <c r="D25" s="4" t="inlineStr">
        <is>
          <t>Must be zero</t>
        </is>
      </c>
    </row>
    <row r="26">
      <c r="A26" s="1" t="inlineStr">
        <is>
          <t>Sources</t>
        </is>
      </c>
    </row>
    <row r="27">
      <c r="A27" s="3" t="inlineStr">
        <is>
          <t>Source: construction loan</t>
        </is>
      </c>
      <c r="B27" s="4" t="inlineStr">
        <is>
          <t>$</t>
        </is>
      </c>
      <c r="C27" s="12">
        <f>C22</f>
        <v/>
      </c>
      <c r="D27" s="4" t="inlineStr">
        <is>
          <t>Commitment</t>
        </is>
      </c>
    </row>
    <row r="28">
      <c r="A28" s="3" t="inlineStr">
        <is>
          <t>Source: equity</t>
        </is>
      </c>
      <c r="B28" s="4" t="inlineStr">
        <is>
          <t>$</t>
        </is>
      </c>
      <c r="C28" s="12">
        <f>C21-C22</f>
        <v/>
      </c>
      <c r="D28" s="4" t="inlineStr">
        <is>
          <t>Total uses minus commitment. Contributed at month 1.</t>
        </is>
      </c>
    </row>
    <row r="29">
      <c r="A29" s="3" t="inlineStr">
        <is>
          <t>Total sources</t>
        </is>
      </c>
      <c r="B29" s="4" t="inlineStr">
        <is>
          <t>$</t>
        </is>
      </c>
      <c r="C29" s="12">
        <f>C27+C28</f>
        <v/>
      </c>
      <c r="D29" s="4" t="inlineStr">
        <is>
          <t>Loan plus equity</t>
        </is>
      </c>
    </row>
    <row r="30">
      <c r="A30" s="3" t="inlineStr">
        <is>
          <t>GP equity</t>
        </is>
      </c>
      <c r="B30" s="4" t="inlineStr">
        <is>
          <t>$</t>
        </is>
      </c>
      <c r="C30" s="12">
        <f>C28*GP_EQUITY_PCT</f>
        <v/>
      </c>
      <c r="D30" s="4" t="inlineStr">
        <is>
          <t>Co-invest share</t>
        </is>
      </c>
    </row>
    <row r="31">
      <c r="A31" s="3" t="inlineStr">
        <is>
          <t>LP equity</t>
        </is>
      </c>
      <c r="B31" s="4" t="inlineStr">
        <is>
          <t>$</t>
        </is>
      </c>
      <c r="C31" s="12">
        <f>C28*(1-GP_EQUITY_PCT)</f>
        <v/>
      </c>
      <c r="D31" s="4" t="inlineStr">
        <is>
          <t>Remainder of equity</t>
        </is>
      </c>
    </row>
    <row r="32">
      <c r="A32" s="3" t="inlineStr">
        <is>
          <t>Non-land uses on the spend curve</t>
        </is>
      </c>
      <c r="B32" s="4" t="inlineStr">
        <is>
          <t>$</t>
        </is>
      </c>
      <c r="C32" s="12">
        <f>C10+C11+C12+C15+C17</f>
        <v/>
      </c>
      <c r="D32" s="4" t="inlineStr">
        <is>
          <t>Hard, contingency, soft, FF&amp;E, and fee</t>
        </is>
      </c>
    </row>
    <row r="33">
      <c r="A33" s="3" t="inlineStr">
        <is>
          <t>Sources minus uses</t>
        </is>
      </c>
      <c r="B33" s="4" t="inlineStr">
        <is>
          <t>$</t>
        </is>
      </c>
      <c r="C33" s="14">
        <f>C29-C21</f>
        <v/>
      </c>
      <c r="D33" s="4" t="inlineStr">
        <is>
          <t>Must be zero</t>
        </is>
      </c>
    </row>
  </sheetData>
  <pageMargins left="0.4" right="0.4" top="0.6" bottom="0.5" header="0.25" footer="0.25"/>
  <pageSetup orientation="landscape" paperSize="3" fitToHeight="0" fitToWidth="1"/>
  <headerFooter>
    <oddHeader>&amp;LElite Luxury Mixed-Use  |  Illustrative template</oddHeader>
    <oddFooter>&amp;LNot a live deal  |  Not an offering  |  Not investment advice&amp;RPage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H10"/>
  <sheetViews>
    <sheetView view="pageBreakPreview" zoomScale="8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</cols>
  <sheetData>
    <row r="1" ht="22" customHeight="1">
      <c r="A1" s="1" t="inlineStr">
        <is>
          <t>SpendCurve</t>
        </is>
      </c>
      <c r="D1" s="4" t="inlineStr">
        <is>
          <t>Land and loan costs at month 1. Other non-interest uses follow S(t)=(t/CONSTR_MONTHS)^2.2.</t>
        </is>
      </c>
    </row>
    <row r="2">
      <c r="A2" s="3" t="inlineStr">
        <is>
          <t>Month</t>
        </is>
      </c>
      <c r="B2" t="inlineStr">
        <is>
          <t>index</t>
        </is>
      </c>
      <c r="C2" s="15">
        <f>COLUMN()-2</f>
        <v/>
      </c>
      <c r="D2" s="15">
        <f>COLUMN()-2</f>
        <v/>
      </c>
      <c r="E2" s="15">
        <f>COLUMN()-2</f>
        <v/>
      </c>
      <c r="F2" s="15">
        <f>COLUMN()-2</f>
        <v/>
      </c>
      <c r="G2" s="15">
        <f>COLUMN()-2</f>
        <v/>
      </c>
      <c r="H2" s="15">
        <f>COLUMN()-2</f>
        <v/>
      </c>
      <c r="I2" s="15">
        <f>COLUMN()-2</f>
        <v/>
      </c>
      <c r="J2" s="15">
        <f>COLUMN()-2</f>
        <v/>
      </c>
      <c r="K2" s="15">
        <f>COLUMN()-2</f>
        <v/>
      </c>
      <c r="L2" s="15">
        <f>COLUMN()-2</f>
        <v/>
      </c>
      <c r="M2" s="15">
        <f>COLUMN()-2</f>
        <v/>
      </c>
      <c r="N2" s="15">
        <f>COLUMN()-2</f>
        <v/>
      </c>
      <c r="O2" s="15">
        <f>COLUMN()-2</f>
        <v/>
      </c>
      <c r="P2" s="15">
        <f>COLUMN()-2</f>
        <v/>
      </c>
      <c r="Q2" s="15">
        <f>COLUMN()-2</f>
        <v/>
      </c>
      <c r="R2" s="15">
        <f>COLUMN()-2</f>
        <v/>
      </c>
      <c r="S2" s="15">
        <f>COLUMN()-2</f>
        <v/>
      </c>
      <c r="T2" s="15">
        <f>COLUMN()-2</f>
        <v/>
      </c>
      <c r="U2" s="15">
        <f>COLUMN()-2</f>
        <v/>
      </c>
      <c r="V2" s="15">
        <f>COLUMN()-2</f>
        <v/>
      </c>
      <c r="W2" s="15">
        <f>COLUMN()-2</f>
        <v/>
      </c>
      <c r="X2" s="15">
        <f>COLUMN()-2</f>
        <v/>
      </c>
      <c r="Y2" s="15">
        <f>COLUMN()-2</f>
        <v/>
      </c>
      <c r="Z2" s="15">
        <f>COLUMN()-2</f>
        <v/>
      </c>
      <c r="AA2" s="15">
        <f>COLUMN()-2</f>
        <v/>
      </c>
      <c r="AB2" s="15">
        <f>COLUMN()-2</f>
        <v/>
      </c>
      <c r="AC2" s="15">
        <f>COLUMN()-2</f>
        <v/>
      </c>
      <c r="AD2" s="15">
        <f>COLUMN()-2</f>
        <v/>
      </c>
      <c r="AE2" s="15">
        <f>COLUMN()-2</f>
        <v/>
      </c>
      <c r="AF2" s="15">
        <f>COLUMN()-2</f>
        <v/>
      </c>
      <c r="AG2" s="15">
        <f>COLUMN()-2</f>
        <v/>
      </c>
      <c r="AH2" s="15">
        <f>COLUMN()-2</f>
        <v/>
      </c>
      <c r="AI2" s="15">
        <f>COLUMN()-2</f>
        <v/>
      </c>
      <c r="AJ2" s="15">
        <f>COLUMN()-2</f>
        <v/>
      </c>
      <c r="AK2" s="15">
        <f>COLUMN()-2</f>
        <v/>
      </c>
      <c r="AL2" s="15">
        <f>COLUMN()-2</f>
        <v/>
      </c>
      <c r="AM2" s="15">
        <f>COLUMN()-2</f>
        <v/>
      </c>
      <c r="AN2" s="15">
        <f>COLUMN()-2</f>
        <v/>
      </c>
      <c r="AO2" s="15">
        <f>COLUMN()-2</f>
        <v/>
      </c>
      <c r="AP2" s="15">
        <f>COLUMN()-2</f>
        <v/>
      </c>
      <c r="AQ2" s="15">
        <f>COLUMN()-2</f>
        <v/>
      </c>
      <c r="AR2" s="15">
        <f>COLUMN()-2</f>
        <v/>
      </c>
      <c r="AS2" s="15">
        <f>COLUMN()-2</f>
        <v/>
      </c>
      <c r="AT2" s="15">
        <f>COLUMN()-2</f>
        <v/>
      </c>
      <c r="AU2" s="15">
        <f>COLUMN()-2</f>
        <v/>
      </c>
      <c r="AV2" s="15">
        <f>COLUMN()-2</f>
        <v/>
      </c>
      <c r="AW2" s="15">
        <f>COLUMN()-2</f>
        <v/>
      </c>
      <c r="AX2" s="15">
        <f>COLUMN()-2</f>
        <v/>
      </c>
      <c r="AY2" s="15">
        <f>COLUMN()-2</f>
        <v/>
      </c>
      <c r="AZ2" s="15">
        <f>COLUMN()-2</f>
        <v/>
      </c>
      <c r="BA2" s="15">
        <f>COLUMN()-2</f>
        <v/>
      </c>
      <c r="BB2" s="15">
        <f>COLUMN()-2</f>
        <v/>
      </c>
      <c r="BC2" s="15">
        <f>COLUMN()-2</f>
        <v/>
      </c>
      <c r="BD2" s="15">
        <f>COLUMN()-2</f>
        <v/>
      </c>
      <c r="BE2" s="15">
        <f>COLUMN()-2</f>
        <v/>
      </c>
      <c r="BF2" s="15">
        <f>COLUMN()-2</f>
        <v/>
      </c>
      <c r="BG2" s="15">
        <f>COLUMN()-2</f>
        <v/>
      </c>
      <c r="BH2" s="15">
        <f>COLUMN()-2</f>
        <v/>
      </c>
      <c r="BI2" s="15">
        <f>COLUMN()-2</f>
        <v/>
      </c>
      <c r="BJ2" s="15">
        <f>COLUMN()-2</f>
        <v/>
      </c>
      <c r="BK2" s="15">
        <f>COLUMN()-2</f>
        <v/>
      </c>
      <c r="BL2" s="15">
        <f>COLUMN()-2</f>
        <v/>
      </c>
      <c r="BM2" s="15">
        <f>COLUMN()-2</f>
        <v/>
      </c>
      <c r="BN2" s="15">
        <f>COLUMN()-2</f>
        <v/>
      </c>
      <c r="BO2" s="15">
        <f>COLUMN()-2</f>
        <v/>
      </c>
      <c r="BP2" s="15">
        <f>COLUMN()-2</f>
        <v/>
      </c>
      <c r="BQ2" s="15">
        <f>COLUMN()-2</f>
        <v/>
      </c>
      <c r="BR2" s="15">
        <f>COLUMN()-2</f>
        <v/>
      </c>
      <c r="BS2" s="15">
        <f>COLUMN()-2</f>
        <v/>
      </c>
      <c r="BT2" s="15">
        <f>COLUMN()-2</f>
        <v/>
      </c>
      <c r="BU2" s="15">
        <f>COLUMN()-2</f>
        <v/>
      </c>
      <c r="BV2" s="15">
        <f>COLUMN()-2</f>
        <v/>
      </c>
      <c r="BW2" s="15">
        <f>COLUMN()-2</f>
        <v/>
      </c>
      <c r="BX2" s="15">
        <f>COLUMN()-2</f>
        <v/>
      </c>
      <c r="BY2" s="15">
        <f>COLUMN()-2</f>
        <v/>
      </c>
      <c r="BZ2" s="15">
        <f>COLUMN()-2</f>
        <v/>
      </c>
      <c r="CA2" s="15">
        <f>COLUMN()-2</f>
        <v/>
      </c>
      <c r="CB2" s="15">
        <f>COLUMN()-2</f>
        <v/>
      </c>
      <c r="CC2" s="15">
        <f>COLUMN()-2</f>
        <v/>
      </c>
      <c r="CD2" s="15">
        <f>COLUMN()-2</f>
        <v/>
      </c>
      <c r="CE2" s="15">
        <f>COLUMN()-2</f>
        <v/>
      </c>
      <c r="CF2" s="15">
        <f>COLUMN()-2</f>
        <v/>
      </c>
      <c r="CG2" s="15">
        <f>COLUMN()-2</f>
        <v/>
      </c>
      <c r="CH2" s="15">
        <f>COLUMN()-2</f>
        <v/>
      </c>
    </row>
    <row r="3">
      <c r="A3" s="3" t="inlineStr">
        <is>
          <t>Date</t>
        </is>
      </c>
      <c r="B3" t="inlineStr">
        <is>
          <t>month-end</t>
        </is>
      </c>
      <c r="C3" s="11">
        <f>EOMONTH(DATE(2026,1,1),C2-1)</f>
        <v/>
      </c>
      <c r="D3" s="11">
        <f>EOMONTH(DATE(2026,1,1),D2-1)</f>
        <v/>
      </c>
      <c r="E3" s="11">
        <f>EOMONTH(DATE(2026,1,1),E2-1)</f>
        <v/>
      </c>
      <c r="F3" s="11">
        <f>EOMONTH(DATE(2026,1,1),F2-1)</f>
        <v/>
      </c>
      <c r="G3" s="11">
        <f>EOMONTH(DATE(2026,1,1),G2-1)</f>
        <v/>
      </c>
      <c r="H3" s="11">
        <f>EOMONTH(DATE(2026,1,1),H2-1)</f>
        <v/>
      </c>
      <c r="I3" s="11">
        <f>EOMONTH(DATE(2026,1,1),I2-1)</f>
        <v/>
      </c>
      <c r="J3" s="11">
        <f>EOMONTH(DATE(2026,1,1),J2-1)</f>
        <v/>
      </c>
      <c r="K3" s="11">
        <f>EOMONTH(DATE(2026,1,1),K2-1)</f>
        <v/>
      </c>
      <c r="L3" s="11">
        <f>EOMONTH(DATE(2026,1,1),L2-1)</f>
        <v/>
      </c>
      <c r="M3" s="11">
        <f>EOMONTH(DATE(2026,1,1),M2-1)</f>
        <v/>
      </c>
      <c r="N3" s="11">
        <f>EOMONTH(DATE(2026,1,1),N2-1)</f>
        <v/>
      </c>
      <c r="O3" s="11">
        <f>EOMONTH(DATE(2026,1,1),O2-1)</f>
        <v/>
      </c>
      <c r="P3" s="11">
        <f>EOMONTH(DATE(2026,1,1),P2-1)</f>
        <v/>
      </c>
      <c r="Q3" s="11">
        <f>EOMONTH(DATE(2026,1,1),Q2-1)</f>
        <v/>
      </c>
      <c r="R3" s="11">
        <f>EOMONTH(DATE(2026,1,1),R2-1)</f>
        <v/>
      </c>
      <c r="S3" s="11">
        <f>EOMONTH(DATE(2026,1,1),S2-1)</f>
        <v/>
      </c>
      <c r="T3" s="11">
        <f>EOMONTH(DATE(2026,1,1),T2-1)</f>
        <v/>
      </c>
      <c r="U3" s="11">
        <f>EOMONTH(DATE(2026,1,1),U2-1)</f>
        <v/>
      </c>
      <c r="V3" s="11">
        <f>EOMONTH(DATE(2026,1,1),V2-1)</f>
        <v/>
      </c>
      <c r="W3" s="11">
        <f>EOMONTH(DATE(2026,1,1),W2-1)</f>
        <v/>
      </c>
      <c r="X3" s="11">
        <f>EOMONTH(DATE(2026,1,1),X2-1)</f>
        <v/>
      </c>
      <c r="Y3" s="11">
        <f>EOMONTH(DATE(2026,1,1),Y2-1)</f>
        <v/>
      </c>
      <c r="Z3" s="11">
        <f>EOMONTH(DATE(2026,1,1),Z2-1)</f>
        <v/>
      </c>
      <c r="AA3" s="11">
        <f>EOMONTH(DATE(2026,1,1),AA2-1)</f>
        <v/>
      </c>
      <c r="AB3" s="11">
        <f>EOMONTH(DATE(2026,1,1),AB2-1)</f>
        <v/>
      </c>
      <c r="AC3" s="11">
        <f>EOMONTH(DATE(2026,1,1),AC2-1)</f>
        <v/>
      </c>
      <c r="AD3" s="11">
        <f>EOMONTH(DATE(2026,1,1),AD2-1)</f>
        <v/>
      </c>
      <c r="AE3" s="11">
        <f>EOMONTH(DATE(2026,1,1),AE2-1)</f>
        <v/>
      </c>
      <c r="AF3" s="11">
        <f>EOMONTH(DATE(2026,1,1),AF2-1)</f>
        <v/>
      </c>
      <c r="AG3" s="11">
        <f>EOMONTH(DATE(2026,1,1),AG2-1)</f>
        <v/>
      </c>
      <c r="AH3" s="11">
        <f>EOMONTH(DATE(2026,1,1),AH2-1)</f>
        <v/>
      </c>
      <c r="AI3" s="11">
        <f>EOMONTH(DATE(2026,1,1),AI2-1)</f>
        <v/>
      </c>
      <c r="AJ3" s="11">
        <f>EOMONTH(DATE(2026,1,1),AJ2-1)</f>
        <v/>
      </c>
      <c r="AK3" s="11">
        <f>EOMONTH(DATE(2026,1,1),AK2-1)</f>
        <v/>
      </c>
      <c r="AL3" s="11">
        <f>EOMONTH(DATE(2026,1,1),AL2-1)</f>
        <v/>
      </c>
      <c r="AM3" s="11">
        <f>EOMONTH(DATE(2026,1,1),AM2-1)</f>
        <v/>
      </c>
      <c r="AN3" s="11">
        <f>EOMONTH(DATE(2026,1,1),AN2-1)</f>
        <v/>
      </c>
      <c r="AO3" s="11">
        <f>EOMONTH(DATE(2026,1,1),AO2-1)</f>
        <v/>
      </c>
      <c r="AP3" s="11">
        <f>EOMONTH(DATE(2026,1,1),AP2-1)</f>
        <v/>
      </c>
      <c r="AQ3" s="11">
        <f>EOMONTH(DATE(2026,1,1),AQ2-1)</f>
        <v/>
      </c>
      <c r="AR3" s="11">
        <f>EOMONTH(DATE(2026,1,1),AR2-1)</f>
        <v/>
      </c>
      <c r="AS3" s="11">
        <f>EOMONTH(DATE(2026,1,1),AS2-1)</f>
        <v/>
      </c>
      <c r="AT3" s="11">
        <f>EOMONTH(DATE(2026,1,1),AT2-1)</f>
        <v/>
      </c>
      <c r="AU3" s="11">
        <f>EOMONTH(DATE(2026,1,1),AU2-1)</f>
        <v/>
      </c>
      <c r="AV3" s="11">
        <f>EOMONTH(DATE(2026,1,1),AV2-1)</f>
        <v/>
      </c>
      <c r="AW3" s="11">
        <f>EOMONTH(DATE(2026,1,1),AW2-1)</f>
        <v/>
      </c>
      <c r="AX3" s="11">
        <f>EOMONTH(DATE(2026,1,1),AX2-1)</f>
        <v/>
      </c>
      <c r="AY3" s="11">
        <f>EOMONTH(DATE(2026,1,1),AY2-1)</f>
        <v/>
      </c>
      <c r="AZ3" s="11">
        <f>EOMONTH(DATE(2026,1,1),AZ2-1)</f>
        <v/>
      </c>
      <c r="BA3" s="11">
        <f>EOMONTH(DATE(2026,1,1),BA2-1)</f>
        <v/>
      </c>
      <c r="BB3" s="11">
        <f>EOMONTH(DATE(2026,1,1),BB2-1)</f>
        <v/>
      </c>
      <c r="BC3" s="11">
        <f>EOMONTH(DATE(2026,1,1),BC2-1)</f>
        <v/>
      </c>
      <c r="BD3" s="11">
        <f>EOMONTH(DATE(2026,1,1),BD2-1)</f>
        <v/>
      </c>
      <c r="BE3" s="11">
        <f>EOMONTH(DATE(2026,1,1),BE2-1)</f>
        <v/>
      </c>
      <c r="BF3" s="11">
        <f>EOMONTH(DATE(2026,1,1),BF2-1)</f>
        <v/>
      </c>
      <c r="BG3" s="11">
        <f>EOMONTH(DATE(2026,1,1),BG2-1)</f>
        <v/>
      </c>
      <c r="BH3" s="11">
        <f>EOMONTH(DATE(2026,1,1),BH2-1)</f>
        <v/>
      </c>
      <c r="BI3" s="11">
        <f>EOMONTH(DATE(2026,1,1),BI2-1)</f>
        <v/>
      </c>
      <c r="BJ3" s="11">
        <f>EOMONTH(DATE(2026,1,1),BJ2-1)</f>
        <v/>
      </c>
      <c r="BK3" s="11">
        <f>EOMONTH(DATE(2026,1,1),BK2-1)</f>
        <v/>
      </c>
      <c r="BL3" s="11">
        <f>EOMONTH(DATE(2026,1,1),BL2-1)</f>
        <v/>
      </c>
      <c r="BM3" s="11">
        <f>EOMONTH(DATE(2026,1,1),BM2-1)</f>
        <v/>
      </c>
      <c r="BN3" s="11">
        <f>EOMONTH(DATE(2026,1,1),BN2-1)</f>
        <v/>
      </c>
      <c r="BO3" s="11">
        <f>EOMONTH(DATE(2026,1,1),BO2-1)</f>
        <v/>
      </c>
      <c r="BP3" s="11">
        <f>EOMONTH(DATE(2026,1,1),BP2-1)</f>
        <v/>
      </c>
      <c r="BQ3" s="11">
        <f>EOMONTH(DATE(2026,1,1),BQ2-1)</f>
        <v/>
      </c>
      <c r="BR3" s="11">
        <f>EOMONTH(DATE(2026,1,1),BR2-1)</f>
        <v/>
      </c>
      <c r="BS3" s="11">
        <f>EOMONTH(DATE(2026,1,1),BS2-1)</f>
        <v/>
      </c>
      <c r="BT3" s="11">
        <f>EOMONTH(DATE(2026,1,1),BT2-1)</f>
        <v/>
      </c>
      <c r="BU3" s="11">
        <f>EOMONTH(DATE(2026,1,1),BU2-1)</f>
        <v/>
      </c>
      <c r="BV3" s="11">
        <f>EOMONTH(DATE(2026,1,1),BV2-1)</f>
        <v/>
      </c>
      <c r="BW3" s="11">
        <f>EOMONTH(DATE(2026,1,1),BW2-1)</f>
        <v/>
      </c>
      <c r="BX3" s="11">
        <f>EOMONTH(DATE(2026,1,1),BX2-1)</f>
        <v/>
      </c>
      <c r="BY3" s="11">
        <f>EOMONTH(DATE(2026,1,1),BY2-1)</f>
        <v/>
      </c>
      <c r="BZ3" s="11">
        <f>EOMONTH(DATE(2026,1,1),BZ2-1)</f>
        <v/>
      </c>
      <c r="CA3" s="11">
        <f>EOMONTH(DATE(2026,1,1),CA2-1)</f>
        <v/>
      </c>
      <c r="CB3" s="11">
        <f>EOMONTH(DATE(2026,1,1),CB2-1)</f>
        <v/>
      </c>
      <c r="CC3" s="11">
        <f>EOMONTH(DATE(2026,1,1),CC2-1)</f>
        <v/>
      </c>
      <c r="CD3" s="11">
        <f>EOMONTH(DATE(2026,1,1),CD2-1)</f>
        <v/>
      </c>
      <c r="CE3" s="11">
        <f>EOMONTH(DATE(2026,1,1),CE2-1)</f>
        <v/>
      </c>
      <c r="CF3" s="11">
        <f>EOMONTH(DATE(2026,1,1),CF2-1)</f>
        <v/>
      </c>
      <c r="CG3" s="11">
        <f>EOMONTH(DATE(2026,1,1),CG2-1)</f>
        <v/>
      </c>
      <c r="CH3" s="11">
        <f>EOMONTH(DATE(2026,1,1),CH2-1)</f>
        <v/>
      </c>
    </row>
    <row r="4">
      <c r="A4" s="3" t="inlineStr">
        <is>
          <t>Cumulative spend fraction S(t)</t>
        </is>
      </c>
      <c r="B4" s="4" t="inlineStr">
        <is>
          <t>fraction</t>
        </is>
      </c>
      <c r="C4" s="14">
        <f>IF(C2&gt;=CONSTR_MONTHS,1,(C2/CONSTR_MONTHS)^2.2)</f>
        <v/>
      </c>
      <c r="D4" s="14">
        <f>IF(D2&gt;=CONSTR_MONTHS,1,(D2/CONSTR_MONTHS)^2.2)</f>
        <v/>
      </c>
      <c r="E4" s="14">
        <f>IF(E2&gt;=CONSTR_MONTHS,1,(E2/CONSTR_MONTHS)^2.2)</f>
        <v/>
      </c>
      <c r="F4" s="14">
        <f>IF(F2&gt;=CONSTR_MONTHS,1,(F2/CONSTR_MONTHS)^2.2)</f>
        <v/>
      </c>
      <c r="G4" s="14">
        <f>IF(G2&gt;=CONSTR_MONTHS,1,(G2/CONSTR_MONTHS)^2.2)</f>
        <v/>
      </c>
      <c r="H4" s="14">
        <f>IF(H2&gt;=CONSTR_MONTHS,1,(H2/CONSTR_MONTHS)^2.2)</f>
        <v/>
      </c>
      <c r="I4" s="14">
        <f>IF(I2&gt;=CONSTR_MONTHS,1,(I2/CONSTR_MONTHS)^2.2)</f>
        <v/>
      </c>
      <c r="J4" s="14">
        <f>IF(J2&gt;=CONSTR_MONTHS,1,(J2/CONSTR_MONTHS)^2.2)</f>
        <v/>
      </c>
      <c r="K4" s="14">
        <f>IF(K2&gt;=CONSTR_MONTHS,1,(K2/CONSTR_MONTHS)^2.2)</f>
        <v/>
      </c>
      <c r="L4" s="14">
        <f>IF(L2&gt;=CONSTR_MONTHS,1,(L2/CONSTR_MONTHS)^2.2)</f>
        <v/>
      </c>
      <c r="M4" s="14">
        <f>IF(M2&gt;=CONSTR_MONTHS,1,(M2/CONSTR_MONTHS)^2.2)</f>
        <v/>
      </c>
      <c r="N4" s="14">
        <f>IF(N2&gt;=CONSTR_MONTHS,1,(N2/CONSTR_MONTHS)^2.2)</f>
        <v/>
      </c>
      <c r="O4" s="14">
        <f>IF(O2&gt;=CONSTR_MONTHS,1,(O2/CONSTR_MONTHS)^2.2)</f>
        <v/>
      </c>
      <c r="P4" s="14">
        <f>IF(P2&gt;=CONSTR_MONTHS,1,(P2/CONSTR_MONTHS)^2.2)</f>
        <v/>
      </c>
      <c r="Q4" s="14">
        <f>IF(Q2&gt;=CONSTR_MONTHS,1,(Q2/CONSTR_MONTHS)^2.2)</f>
        <v/>
      </c>
      <c r="R4" s="14">
        <f>IF(R2&gt;=CONSTR_MONTHS,1,(R2/CONSTR_MONTHS)^2.2)</f>
        <v/>
      </c>
      <c r="S4" s="14">
        <f>IF(S2&gt;=CONSTR_MONTHS,1,(S2/CONSTR_MONTHS)^2.2)</f>
        <v/>
      </c>
      <c r="T4" s="14">
        <f>IF(T2&gt;=CONSTR_MONTHS,1,(T2/CONSTR_MONTHS)^2.2)</f>
        <v/>
      </c>
      <c r="U4" s="14">
        <f>IF(U2&gt;=CONSTR_MONTHS,1,(U2/CONSTR_MONTHS)^2.2)</f>
        <v/>
      </c>
      <c r="V4" s="14">
        <f>IF(V2&gt;=CONSTR_MONTHS,1,(V2/CONSTR_MONTHS)^2.2)</f>
        <v/>
      </c>
      <c r="W4" s="14">
        <f>IF(W2&gt;=CONSTR_MONTHS,1,(W2/CONSTR_MONTHS)^2.2)</f>
        <v/>
      </c>
      <c r="X4" s="14">
        <f>IF(X2&gt;=CONSTR_MONTHS,1,(X2/CONSTR_MONTHS)^2.2)</f>
        <v/>
      </c>
      <c r="Y4" s="14">
        <f>IF(Y2&gt;=CONSTR_MONTHS,1,(Y2/CONSTR_MONTHS)^2.2)</f>
        <v/>
      </c>
      <c r="Z4" s="14">
        <f>IF(Z2&gt;=CONSTR_MONTHS,1,(Z2/CONSTR_MONTHS)^2.2)</f>
        <v/>
      </c>
      <c r="AA4" s="14">
        <f>IF(AA2&gt;=CONSTR_MONTHS,1,(AA2/CONSTR_MONTHS)^2.2)</f>
        <v/>
      </c>
      <c r="AB4" s="14">
        <f>IF(AB2&gt;=CONSTR_MONTHS,1,(AB2/CONSTR_MONTHS)^2.2)</f>
        <v/>
      </c>
      <c r="AC4" s="14">
        <f>IF(AC2&gt;=CONSTR_MONTHS,1,(AC2/CONSTR_MONTHS)^2.2)</f>
        <v/>
      </c>
      <c r="AD4" s="14">
        <f>IF(AD2&gt;=CONSTR_MONTHS,1,(AD2/CONSTR_MONTHS)^2.2)</f>
        <v/>
      </c>
      <c r="AE4" s="14">
        <f>IF(AE2&gt;=CONSTR_MONTHS,1,(AE2/CONSTR_MONTHS)^2.2)</f>
        <v/>
      </c>
      <c r="AF4" s="14">
        <f>IF(AF2&gt;=CONSTR_MONTHS,1,(AF2/CONSTR_MONTHS)^2.2)</f>
        <v/>
      </c>
      <c r="AG4" s="14">
        <f>IF(AG2&gt;=CONSTR_MONTHS,1,(AG2/CONSTR_MONTHS)^2.2)</f>
        <v/>
      </c>
      <c r="AH4" s="14">
        <f>IF(AH2&gt;=CONSTR_MONTHS,1,(AH2/CONSTR_MONTHS)^2.2)</f>
        <v/>
      </c>
      <c r="AI4" s="14">
        <f>IF(AI2&gt;=CONSTR_MONTHS,1,(AI2/CONSTR_MONTHS)^2.2)</f>
        <v/>
      </c>
      <c r="AJ4" s="14">
        <f>IF(AJ2&gt;=CONSTR_MONTHS,1,(AJ2/CONSTR_MONTHS)^2.2)</f>
        <v/>
      </c>
      <c r="AK4" s="14">
        <f>IF(AK2&gt;=CONSTR_MONTHS,1,(AK2/CONSTR_MONTHS)^2.2)</f>
        <v/>
      </c>
      <c r="AL4" s="14">
        <f>IF(AL2&gt;=CONSTR_MONTHS,1,(AL2/CONSTR_MONTHS)^2.2)</f>
        <v/>
      </c>
      <c r="AM4" s="14">
        <f>IF(AM2&gt;=CONSTR_MONTHS,1,(AM2/CONSTR_MONTHS)^2.2)</f>
        <v/>
      </c>
      <c r="AN4" s="14">
        <f>IF(AN2&gt;=CONSTR_MONTHS,1,(AN2/CONSTR_MONTHS)^2.2)</f>
        <v/>
      </c>
      <c r="AO4" s="14">
        <f>IF(AO2&gt;=CONSTR_MONTHS,1,(AO2/CONSTR_MONTHS)^2.2)</f>
        <v/>
      </c>
      <c r="AP4" s="14">
        <f>IF(AP2&gt;=CONSTR_MONTHS,1,(AP2/CONSTR_MONTHS)^2.2)</f>
        <v/>
      </c>
      <c r="AQ4" s="14">
        <f>IF(AQ2&gt;=CONSTR_MONTHS,1,(AQ2/CONSTR_MONTHS)^2.2)</f>
        <v/>
      </c>
      <c r="AR4" s="14">
        <f>IF(AR2&gt;=CONSTR_MONTHS,1,(AR2/CONSTR_MONTHS)^2.2)</f>
        <v/>
      </c>
      <c r="AS4" s="14">
        <f>IF(AS2&gt;=CONSTR_MONTHS,1,(AS2/CONSTR_MONTHS)^2.2)</f>
        <v/>
      </c>
      <c r="AT4" s="14">
        <f>IF(AT2&gt;=CONSTR_MONTHS,1,(AT2/CONSTR_MONTHS)^2.2)</f>
        <v/>
      </c>
      <c r="AU4" s="14">
        <f>IF(AU2&gt;=CONSTR_MONTHS,1,(AU2/CONSTR_MONTHS)^2.2)</f>
        <v/>
      </c>
      <c r="AV4" s="14">
        <f>IF(AV2&gt;=CONSTR_MONTHS,1,(AV2/CONSTR_MONTHS)^2.2)</f>
        <v/>
      </c>
      <c r="AW4" s="14">
        <f>IF(AW2&gt;=CONSTR_MONTHS,1,(AW2/CONSTR_MONTHS)^2.2)</f>
        <v/>
      </c>
      <c r="AX4" s="14">
        <f>IF(AX2&gt;=CONSTR_MONTHS,1,(AX2/CONSTR_MONTHS)^2.2)</f>
        <v/>
      </c>
      <c r="AY4" s="14">
        <f>IF(AY2&gt;=CONSTR_MONTHS,1,(AY2/CONSTR_MONTHS)^2.2)</f>
        <v/>
      </c>
      <c r="AZ4" s="14">
        <f>IF(AZ2&gt;=CONSTR_MONTHS,1,(AZ2/CONSTR_MONTHS)^2.2)</f>
        <v/>
      </c>
      <c r="BA4" s="14">
        <f>IF(BA2&gt;=CONSTR_MONTHS,1,(BA2/CONSTR_MONTHS)^2.2)</f>
        <v/>
      </c>
      <c r="BB4" s="14">
        <f>IF(BB2&gt;=CONSTR_MONTHS,1,(BB2/CONSTR_MONTHS)^2.2)</f>
        <v/>
      </c>
      <c r="BC4" s="14">
        <f>IF(BC2&gt;=CONSTR_MONTHS,1,(BC2/CONSTR_MONTHS)^2.2)</f>
        <v/>
      </c>
      <c r="BD4" s="14">
        <f>IF(BD2&gt;=CONSTR_MONTHS,1,(BD2/CONSTR_MONTHS)^2.2)</f>
        <v/>
      </c>
      <c r="BE4" s="14">
        <f>IF(BE2&gt;=CONSTR_MONTHS,1,(BE2/CONSTR_MONTHS)^2.2)</f>
        <v/>
      </c>
      <c r="BF4" s="14">
        <f>IF(BF2&gt;=CONSTR_MONTHS,1,(BF2/CONSTR_MONTHS)^2.2)</f>
        <v/>
      </c>
      <c r="BG4" s="14">
        <f>IF(BG2&gt;=CONSTR_MONTHS,1,(BG2/CONSTR_MONTHS)^2.2)</f>
        <v/>
      </c>
      <c r="BH4" s="14">
        <f>IF(BH2&gt;=CONSTR_MONTHS,1,(BH2/CONSTR_MONTHS)^2.2)</f>
        <v/>
      </c>
      <c r="BI4" s="14">
        <f>IF(BI2&gt;=CONSTR_MONTHS,1,(BI2/CONSTR_MONTHS)^2.2)</f>
        <v/>
      </c>
      <c r="BJ4" s="14">
        <f>IF(BJ2&gt;=CONSTR_MONTHS,1,(BJ2/CONSTR_MONTHS)^2.2)</f>
        <v/>
      </c>
      <c r="BK4" s="14">
        <f>IF(BK2&gt;=CONSTR_MONTHS,1,(BK2/CONSTR_MONTHS)^2.2)</f>
        <v/>
      </c>
      <c r="BL4" s="14">
        <f>IF(BL2&gt;=CONSTR_MONTHS,1,(BL2/CONSTR_MONTHS)^2.2)</f>
        <v/>
      </c>
      <c r="BM4" s="14">
        <f>IF(BM2&gt;=CONSTR_MONTHS,1,(BM2/CONSTR_MONTHS)^2.2)</f>
        <v/>
      </c>
      <c r="BN4" s="14">
        <f>IF(BN2&gt;=CONSTR_MONTHS,1,(BN2/CONSTR_MONTHS)^2.2)</f>
        <v/>
      </c>
      <c r="BO4" s="14">
        <f>IF(BO2&gt;=CONSTR_MONTHS,1,(BO2/CONSTR_MONTHS)^2.2)</f>
        <v/>
      </c>
      <c r="BP4" s="14">
        <f>IF(BP2&gt;=CONSTR_MONTHS,1,(BP2/CONSTR_MONTHS)^2.2)</f>
        <v/>
      </c>
      <c r="BQ4" s="14">
        <f>IF(BQ2&gt;=CONSTR_MONTHS,1,(BQ2/CONSTR_MONTHS)^2.2)</f>
        <v/>
      </c>
      <c r="BR4" s="14">
        <f>IF(BR2&gt;=CONSTR_MONTHS,1,(BR2/CONSTR_MONTHS)^2.2)</f>
        <v/>
      </c>
      <c r="BS4" s="14">
        <f>IF(BS2&gt;=CONSTR_MONTHS,1,(BS2/CONSTR_MONTHS)^2.2)</f>
        <v/>
      </c>
      <c r="BT4" s="14">
        <f>IF(BT2&gt;=CONSTR_MONTHS,1,(BT2/CONSTR_MONTHS)^2.2)</f>
        <v/>
      </c>
      <c r="BU4" s="14">
        <f>IF(BU2&gt;=CONSTR_MONTHS,1,(BU2/CONSTR_MONTHS)^2.2)</f>
        <v/>
      </c>
      <c r="BV4" s="14">
        <f>IF(BV2&gt;=CONSTR_MONTHS,1,(BV2/CONSTR_MONTHS)^2.2)</f>
        <v/>
      </c>
      <c r="BW4" s="14">
        <f>IF(BW2&gt;=CONSTR_MONTHS,1,(BW2/CONSTR_MONTHS)^2.2)</f>
        <v/>
      </c>
      <c r="BX4" s="14">
        <f>IF(BX2&gt;=CONSTR_MONTHS,1,(BX2/CONSTR_MONTHS)^2.2)</f>
        <v/>
      </c>
      <c r="BY4" s="14">
        <f>IF(BY2&gt;=CONSTR_MONTHS,1,(BY2/CONSTR_MONTHS)^2.2)</f>
        <v/>
      </c>
      <c r="BZ4" s="14">
        <f>IF(BZ2&gt;=CONSTR_MONTHS,1,(BZ2/CONSTR_MONTHS)^2.2)</f>
        <v/>
      </c>
      <c r="CA4" s="14">
        <f>IF(CA2&gt;=CONSTR_MONTHS,1,(CA2/CONSTR_MONTHS)^2.2)</f>
        <v/>
      </c>
      <c r="CB4" s="14">
        <f>IF(CB2&gt;=CONSTR_MONTHS,1,(CB2/CONSTR_MONTHS)^2.2)</f>
        <v/>
      </c>
      <c r="CC4" s="14">
        <f>IF(CC2&gt;=CONSTR_MONTHS,1,(CC2/CONSTR_MONTHS)^2.2)</f>
        <v/>
      </c>
      <c r="CD4" s="14">
        <f>IF(CD2&gt;=CONSTR_MONTHS,1,(CD2/CONSTR_MONTHS)^2.2)</f>
        <v/>
      </c>
      <c r="CE4" s="14">
        <f>IF(CE2&gt;=CONSTR_MONTHS,1,(CE2/CONSTR_MONTHS)^2.2)</f>
        <v/>
      </c>
      <c r="CF4" s="14">
        <f>IF(CF2&gt;=CONSTR_MONTHS,1,(CF2/CONSTR_MONTHS)^2.2)</f>
        <v/>
      </c>
      <c r="CG4" s="14">
        <f>IF(CG2&gt;=CONSTR_MONTHS,1,(CG2/CONSTR_MONTHS)^2.2)</f>
        <v/>
      </c>
      <c r="CH4" s="14">
        <f>IF(CH2&gt;=CONSTR_MONTHS,1,(CH2/CONSTR_MONTHS)^2.2)</f>
        <v/>
      </c>
    </row>
    <row r="5">
      <c r="A5" s="3" t="inlineStr">
        <is>
          <t>Prior cumulative fraction</t>
        </is>
      </c>
      <c r="B5" s="4" t="inlineStr">
        <is>
          <t>fraction</t>
        </is>
      </c>
      <c r="C5" s="14">
        <f>0</f>
        <v/>
      </c>
      <c r="D5" s="14">
        <f>IF(D2-1&gt;=CONSTR_MONTHS,1,((D2-1)/CONSTR_MONTHS)^2.2)</f>
        <v/>
      </c>
      <c r="E5" s="14">
        <f>IF(E2-1&gt;=CONSTR_MONTHS,1,((E2-1)/CONSTR_MONTHS)^2.2)</f>
        <v/>
      </c>
      <c r="F5" s="14">
        <f>IF(F2-1&gt;=CONSTR_MONTHS,1,((F2-1)/CONSTR_MONTHS)^2.2)</f>
        <v/>
      </c>
      <c r="G5" s="14">
        <f>IF(G2-1&gt;=CONSTR_MONTHS,1,((G2-1)/CONSTR_MONTHS)^2.2)</f>
        <v/>
      </c>
      <c r="H5" s="14">
        <f>IF(H2-1&gt;=CONSTR_MONTHS,1,((H2-1)/CONSTR_MONTHS)^2.2)</f>
        <v/>
      </c>
      <c r="I5" s="14">
        <f>IF(I2-1&gt;=CONSTR_MONTHS,1,((I2-1)/CONSTR_MONTHS)^2.2)</f>
        <v/>
      </c>
      <c r="J5" s="14">
        <f>IF(J2-1&gt;=CONSTR_MONTHS,1,((J2-1)/CONSTR_MONTHS)^2.2)</f>
        <v/>
      </c>
      <c r="K5" s="14">
        <f>IF(K2-1&gt;=CONSTR_MONTHS,1,((K2-1)/CONSTR_MONTHS)^2.2)</f>
        <v/>
      </c>
      <c r="L5" s="14">
        <f>IF(L2-1&gt;=CONSTR_MONTHS,1,((L2-1)/CONSTR_MONTHS)^2.2)</f>
        <v/>
      </c>
      <c r="M5" s="14">
        <f>IF(M2-1&gt;=CONSTR_MONTHS,1,((M2-1)/CONSTR_MONTHS)^2.2)</f>
        <v/>
      </c>
      <c r="N5" s="14">
        <f>IF(N2-1&gt;=CONSTR_MONTHS,1,((N2-1)/CONSTR_MONTHS)^2.2)</f>
        <v/>
      </c>
      <c r="O5" s="14">
        <f>IF(O2-1&gt;=CONSTR_MONTHS,1,((O2-1)/CONSTR_MONTHS)^2.2)</f>
        <v/>
      </c>
      <c r="P5" s="14">
        <f>IF(P2-1&gt;=CONSTR_MONTHS,1,((P2-1)/CONSTR_MONTHS)^2.2)</f>
        <v/>
      </c>
      <c r="Q5" s="14">
        <f>IF(Q2-1&gt;=CONSTR_MONTHS,1,((Q2-1)/CONSTR_MONTHS)^2.2)</f>
        <v/>
      </c>
      <c r="R5" s="14">
        <f>IF(R2-1&gt;=CONSTR_MONTHS,1,((R2-1)/CONSTR_MONTHS)^2.2)</f>
        <v/>
      </c>
      <c r="S5" s="14">
        <f>IF(S2-1&gt;=CONSTR_MONTHS,1,((S2-1)/CONSTR_MONTHS)^2.2)</f>
        <v/>
      </c>
      <c r="T5" s="14">
        <f>IF(T2-1&gt;=CONSTR_MONTHS,1,((T2-1)/CONSTR_MONTHS)^2.2)</f>
        <v/>
      </c>
      <c r="U5" s="14">
        <f>IF(U2-1&gt;=CONSTR_MONTHS,1,((U2-1)/CONSTR_MONTHS)^2.2)</f>
        <v/>
      </c>
      <c r="V5" s="14">
        <f>IF(V2-1&gt;=CONSTR_MONTHS,1,((V2-1)/CONSTR_MONTHS)^2.2)</f>
        <v/>
      </c>
      <c r="W5" s="14">
        <f>IF(W2-1&gt;=CONSTR_MONTHS,1,((W2-1)/CONSTR_MONTHS)^2.2)</f>
        <v/>
      </c>
      <c r="X5" s="14">
        <f>IF(X2-1&gt;=CONSTR_MONTHS,1,((X2-1)/CONSTR_MONTHS)^2.2)</f>
        <v/>
      </c>
      <c r="Y5" s="14">
        <f>IF(Y2-1&gt;=CONSTR_MONTHS,1,((Y2-1)/CONSTR_MONTHS)^2.2)</f>
        <v/>
      </c>
      <c r="Z5" s="14">
        <f>IF(Z2-1&gt;=CONSTR_MONTHS,1,((Z2-1)/CONSTR_MONTHS)^2.2)</f>
        <v/>
      </c>
      <c r="AA5" s="14">
        <f>IF(AA2-1&gt;=CONSTR_MONTHS,1,((AA2-1)/CONSTR_MONTHS)^2.2)</f>
        <v/>
      </c>
      <c r="AB5" s="14">
        <f>IF(AB2-1&gt;=CONSTR_MONTHS,1,((AB2-1)/CONSTR_MONTHS)^2.2)</f>
        <v/>
      </c>
      <c r="AC5" s="14">
        <f>IF(AC2-1&gt;=CONSTR_MONTHS,1,((AC2-1)/CONSTR_MONTHS)^2.2)</f>
        <v/>
      </c>
      <c r="AD5" s="14">
        <f>IF(AD2-1&gt;=CONSTR_MONTHS,1,((AD2-1)/CONSTR_MONTHS)^2.2)</f>
        <v/>
      </c>
      <c r="AE5" s="14">
        <f>IF(AE2-1&gt;=CONSTR_MONTHS,1,((AE2-1)/CONSTR_MONTHS)^2.2)</f>
        <v/>
      </c>
      <c r="AF5" s="14">
        <f>IF(AF2-1&gt;=CONSTR_MONTHS,1,((AF2-1)/CONSTR_MONTHS)^2.2)</f>
        <v/>
      </c>
      <c r="AG5" s="14">
        <f>IF(AG2-1&gt;=CONSTR_MONTHS,1,((AG2-1)/CONSTR_MONTHS)^2.2)</f>
        <v/>
      </c>
      <c r="AH5" s="14">
        <f>IF(AH2-1&gt;=CONSTR_MONTHS,1,((AH2-1)/CONSTR_MONTHS)^2.2)</f>
        <v/>
      </c>
      <c r="AI5" s="14">
        <f>IF(AI2-1&gt;=CONSTR_MONTHS,1,((AI2-1)/CONSTR_MONTHS)^2.2)</f>
        <v/>
      </c>
      <c r="AJ5" s="14">
        <f>IF(AJ2-1&gt;=CONSTR_MONTHS,1,((AJ2-1)/CONSTR_MONTHS)^2.2)</f>
        <v/>
      </c>
      <c r="AK5" s="14">
        <f>IF(AK2-1&gt;=CONSTR_MONTHS,1,((AK2-1)/CONSTR_MONTHS)^2.2)</f>
        <v/>
      </c>
      <c r="AL5" s="14">
        <f>IF(AL2-1&gt;=CONSTR_MONTHS,1,((AL2-1)/CONSTR_MONTHS)^2.2)</f>
        <v/>
      </c>
      <c r="AM5" s="14">
        <f>IF(AM2-1&gt;=CONSTR_MONTHS,1,((AM2-1)/CONSTR_MONTHS)^2.2)</f>
        <v/>
      </c>
      <c r="AN5" s="14">
        <f>IF(AN2-1&gt;=CONSTR_MONTHS,1,((AN2-1)/CONSTR_MONTHS)^2.2)</f>
        <v/>
      </c>
      <c r="AO5" s="14">
        <f>IF(AO2-1&gt;=CONSTR_MONTHS,1,((AO2-1)/CONSTR_MONTHS)^2.2)</f>
        <v/>
      </c>
      <c r="AP5" s="14">
        <f>IF(AP2-1&gt;=CONSTR_MONTHS,1,((AP2-1)/CONSTR_MONTHS)^2.2)</f>
        <v/>
      </c>
      <c r="AQ5" s="14">
        <f>IF(AQ2-1&gt;=CONSTR_MONTHS,1,((AQ2-1)/CONSTR_MONTHS)^2.2)</f>
        <v/>
      </c>
      <c r="AR5" s="14">
        <f>IF(AR2-1&gt;=CONSTR_MONTHS,1,((AR2-1)/CONSTR_MONTHS)^2.2)</f>
        <v/>
      </c>
      <c r="AS5" s="14">
        <f>IF(AS2-1&gt;=CONSTR_MONTHS,1,((AS2-1)/CONSTR_MONTHS)^2.2)</f>
        <v/>
      </c>
      <c r="AT5" s="14">
        <f>IF(AT2-1&gt;=CONSTR_MONTHS,1,((AT2-1)/CONSTR_MONTHS)^2.2)</f>
        <v/>
      </c>
      <c r="AU5" s="14">
        <f>IF(AU2-1&gt;=CONSTR_MONTHS,1,((AU2-1)/CONSTR_MONTHS)^2.2)</f>
        <v/>
      </c>
      <c r="AV5" s="14">
        <f>IF(AV2-1&gt;=CONSTR_MONTHS,1,((AV2-1)/CONSTR_MONTHS)^2.2)</f>
        <v/>
      </c>
      <c r="AW5" s="14">
        <f>IF(AW2-1&gt;=CONSTR_MONTHS,1,((AW2-1)/CONSTR_MONTHS)^2.2)</f>
        <v/>
      </c>
      <c r="AX5" s="14">
        <f>IF(AX2-1&gt;=CONSTR_MONTHS,1,((AX2-1)/CONSTR_MONTHS)^2.2)</f>
        <v/>
      </c>
      <c r="AY5" s="14">
        <f>IF(AY2-1&gt;=CONSTR_MONTHS,1,((AY2-1)/CONSTR_MONTHS)^2.2)</f>
        <v/>
      </c>
      <c r="AZ5" s="14">
        <f>IF(AZ2-1&gt;=CONSTR_MONTHS,1,((AZ2-1)/CONSTR_MONTHS)^2.2)</f>
        <v/>
      </c>
      <c r="BA5" s="14">
        <f>IF(BA2-1&gt;=CONSTR_MONTHS,1,((BA2-1)/CONSTR_MONTHS)^2.2)</f>
        <v/>
      </c>
      <c r="BB5" s="14">
        <f>IF(BB2-1&gt;=CONSTR_MONTHS,1,((BB2-1)/CONSTR_MONTHS)^2.2)</f>
        <v/>
      </c>
      <c r="BC5" s="14">
        <f>IF(BC2-1&gt;=CONSTR_MONTHS,1,((BC2-1)/CONSTR_MONTHS)^2.2)</f>
        <v/>
      </c>
      <c r="BD5" s="14">
        <f>IF(BD2-1&gt;=CONSTR_MONTHS,1,((BD2-1)/CONSTR_MONTHS)^2.2)</f>
        <v/>
      </c>
      <c r="BE5" s="14">
        <f>IF(BE2-1&gt;=CONSTR_MONTHS,1,((BE2-1)/CONSTR_MONTHS)^2.2)</f>
        <v/>
      </c>
      <c r="BF5" s="14">
        <f>IF(BF2-1&gt;=CONSTR_MONTHS,1,((BF2-1)/CONSTR_MONTHS)^2.2)</f>
        <v/>
      </c>
      <c r="BG5" s="14">
        <f>IF(BG2-1&gt;=CONSTR_MONTHS,1,((BG2-1)/CONSTR_MONTHS)^2.2)</f>
        <v/>
      </c>
      <c r="BH5" s="14">
        <f>IF(BH2-1&gt;=CONSTR_MONTHS,1,((BH2-1)/CONSTR_MONTHS)^2.2)</f>
        <v/>
      </c>
      <c r="BI5" s="14">
        <f>IF(BI2-1&gt;=CONSTR_MONTHS,1,((BI2-1)/CONSTR_MONTHS)^2.2)</f>
        <v/>
      </c>
      <c r="BJ5" s="14">
        <f>IF(BJ2-1&gt;=CONSTR_MONTHS,1,((BJ2-1)/CONSTR_MONTHS)^2.2)</f>
        <v/>
      </c>
      <c r="BK5" s="14">
        <f>IF(BK2-1&gt;=CONSTR_MONTHS,1,((BK2-1)/CONSTR_MONTHS)^2.2)</f>
        <v/>
      </c>
      <c r="BL5" s="14">
        <f>IF(BL2-1&gt;=CONSTR_MONTHS,1,((BL2-1)/CONSTR_MONTHS)^2.2)</f>
        <v/>
      </c>
      <c r="BM5" s="14">
        <f>IF(BM2-1&gt;=CONSTR_MONTHS,1,((BM2-1)/CONSTR_MONTHS)^2.2)</f>
        <v/>
      </c>
      <c r="BN5" s="14">
        <f>IF(BN2-1&gt;=CONSTR_MONTHS,1,((BN2-1)/CONSTR_MONTHS)^2.2)</f>
        <v/>
      </c>
      <c r="BO5" s="14">
        <f>IF(BO2-1&gt;=CONSTR_MONTHS,1,((BO2-1)/CONSTR_MONTHS)^2.2)</f>
        <v/>
      </c>
      <c r="BP5" s="14">
        <f>IF(BP2-1&gt;=CONSTR_MONTHS,1,((BP2-1)/CONSTR_MONTHS)^2.2)</f>
        <v/>
      </c>
      <c r="BQ5" s="14">
        <f>IF(BQ2-1&gt;=CONSTR_MONTHS,1,((BQ2-1)/CONSTR_MONTHS)^2.2)</f>
        <v/>
      </c>
      <c r="BR5" s="14">
        <f>IF(BR2-1&gt;=CONSTR_MONTHS,1,((BR2-1)/CONSTR_MONTHS)^2.2)</f>
        <v/>
      </c>
      <c r="BS5" s="14">
        <f>IF(BS2-1&gt;=CONSTR_MONTHS,1,((BS2-1)/CONSTR_MONTHS)^2.2)</f>
        <v/>
      </c>
      <c r="BT5" s="14">
        <f>IF(BT2-1&gt;=CONSTR_MONTHS,1,((BT2-1)/CONSTR_MONTHS)^2.2)</f>
        <v/>
      </c>
      <c r="BU5" s="14">
        <f>IF(BU2-1&gt;=CONSTR_MONTHS,1,((BU2-1)/CONSTR_MONTHS)^2.2)</f>
        <v/>
      </c>
      <c r="BV5" s="14">
        <f>IF(BV2-1&gt;=CONSTR_MONTHS,1,((BV2-1)/CONSTR_MONTHS)^2.2)</f>
        <v/>
      </c>
      <c r="BW5" s="14">
        <f>IF(BW2-1&gt;=CONSTR_MONTHS,1,((BW2-1)/CONSTR_MONTHS)^2.2)</f>
        <v/>
      </c>
      <c r="BX5" s="14">
        <f>IF(BX2-1&gt;=CONSTR_MONTHS,1,((BX2-1)/CONSTR_MONTHS)^2.2)</f>
        <v/>
      </c>
      <c r="BY5" s="14">
        <f>IF(BY2-1&gt;=CONSTR_MONTHS,1,((BY2-1)/CONSTR_MONTHS)^2.2)</f>
        <v/>
      </c>
      <c r="BZ5" s="14">
        <f>IF(BZ2-1&gt;=CONSTR_MONTHS,1,((BZ2-1)/CONSTR_MONTHS)^2.2)</f>
        <v/>
      </c>
      <c r="CA5" s="14">
        <f>IF(CA2-1&gt;=CONSTR_MONTHS,1,((CA2-1)/CONSTR_MONTHS)^2.2)</f>
        <v/>
      </c>
      <c r="CB5" s="14">
        <f>IF(CB2-1&gt;=CONSTR_MONTHS,1,((CB2-1)/CONSTR_MONTHS)^2.2)</f>
        <v/>
      </c>
      <c r="CC5" s="14">
        <f>IF(CC2-1&gt;=CONSTR_MONTHS,1,((CC2-1)/CONSTR_MONTHS)^2.2)</f>
        <v/>
      </c>
      <c r="CD5" s="14">
        <f>IF(CD2-1&gt;=CONSTR_MONTHS,1,((CD2-1)/CONSTR_MONTHS)^2.2)</f>
        <v/>
      </c>
      <c r="CE5" s="14">
        <f>IF(CE2-1&gt;=CONSTR_MONTHS,1,((CE2-1)/CONSTR_MONTHS)^2.2)</f>
        <v/>
      </c>
      <c r="CF5" s="14">
        <f>IF(CF2-1&gt;=CONSTR_MONTHS,1,((CF2-1)/CONSTR_MONTHS)^2.2)</f>
        <v/>
      </c>
      <c r="CG5" s="14">
        <f>IF(CG2-1&gt;=CONSTR_MONTHS,1,((CG2-1)/CONSTR_MONTHS)^2.2)</f>
        <v/>
      </c>
      <c r="CH5" s="14">
        <f>IF(CH2-1&gt;=CONSTR_MONTHS,1,((CH2-1)/CONSTR_MONTHS)^2.2)</f>
        <v/>
      </c>
    </row>
    <row r="6">
      <c r="A6" s="3" t="inlineStr">
        <is>
          <t>Monthly weight</t>
        </is>
      </c>
      <c r="B6" s="4" t="inlineStr">
        <is>
          <t>fraction</t>
        </is>
      </c>
      <c r="C6" s="14">
        <f>C4-C5</f>
        <v/>
      </c>
      <c r="D6" s="14">
        <f>D4-D5</f>
        <v/>
      </c>
      <c r="E6" s="14">
        <f>E4-E5</f>
        <v/>
      </c>
      <c r="F6" s="14">
        <f>F4-F5</f>
        <v/>
      </c>
      <c r="G6" s="14">
        <f>G4-G5</f>
        <v/>
      </c>
      <c r="H6" s="14">
        <f>H4-H5</f>
        <v/>
      </c>
      <c r="I6" s="14">
        <f>I4-I5</f>
        <v/>
      </c>
      <c r="J6" s="14">
        <f>J4-J5</f>
        <v/>
      </c>
      <c r="K6" s="14">
        <f>K4-K5</f>
        <v/>
      </c>
      <c r="L6" s="14">
        <f>L4-L5</f>
        <v/>
      </c>
      <c r="M6" s="14">
        <f>M4-M5</f>
        <v/>
      </c>
      <c r="N6" s="14">
        <f>N4-N5</f>
        <v/>
      </c>
      <c r="O6" s="14">
        <f>O4-O5</f>
        <v/>
      </c>
      <c r="P6" s="14">
        <f>P4-P5</f>
        <v/>
      </c>
      <c r="Q6" s="14">
        <f>Q4-Q5</f>
        <v/>
      </c>
      <c r="R6" s="14">
        <f>R4-R5</f>
        <v/>
      </c>
      <c r="S6" s="14">
        <f>S4-S5</f>
        <v/>
      </c>
      <c r="T6" s="14">
        <f>T4-T5</f>
        <v/>
      </c>
      <c r="U6" s="14">
        <f>U4-U5</f>
        <v/>
      </c>
      <c r="V6" s="14">
        <f>V4-V5</f>
        <v/>
      </c>
      <c r="W6" s="14">
        <f>W4-W5</f>
        <v/>
      </c>
      <c r="X6" s="14">
        <f>X4-X5</f>
        <v/>
      </c>
      <c r="Y6" s="14">
        <f>Y4-Y5</f>
        <v/>
      </c>
      <c r="Z6" s="14">
        <f>Z4-Z5</f>
        <v/>
      </c>
      <c r="AA6" s="14">
        <f>AA4-AA5</f>
        <v/>
      </c>
      <c r="AB6" s="14">
        <f>AB4-AB5</f>
        <v/>
      </c>
      <c r="AC6" s="14">
        <f>AC4-AC5</f>
        <v/>
      </c>
      <c r="AD6" s="14">
        <f>AD4-AD5</f>
        <v/>
      </c>
      <c r="AE6" s="14">
        <f>AE4-AE5</f>
        <v/>
      </c>
      <c r="AF6" s="14">
        <f>AF4-AF5</f>
        <v/>
      </c>
      <c r="AG6" s="14">
        <f>AG4-AG5</f>
        <v/>
      </c>
      <c r="AH6" s="14">
        <f>AH4-AH5</f>
        <v/>
      </c>
      <c r="AI6" s="14">
        <f>AI4-AI5</f>
        <v/>
      </c>
      <c r="AJ6" s="14">
        <f>AJ4-AJ5</f>
        <v/>
      </c>
      <c r="AK6" s="14">
        <f>AK4-AK5</f>
        <v/>
      </c>
      <c r="AL6" s="14">
        <f>AL4-AL5</f>
        <v/>
      </c>
      <c r="AM6" s="14">
        <f>AM4-AM5</f>
        <v/>
      </c>
      <c r="AN6" s="14">
        <f>AN4-AN5</f>
        <v/>
      </c>
      <c r="AO6" s="14">
        <f>AO4-AO5</f>
        <v/>
      </c>
      <c r="AP6" s="14">
        <f>AP4-AP5</f>
        <v/>
      </c>
      <c r="AQ6" s="14">
        <f>AQ4-AQ5</f>
        <v/>
      </c>
      <c r="AR6" s="14">
        <f>AR4-AR5</f>
        <v/>
      </c>
      <c r="AS6" s="14">
        <f>AS4-AS5</f>
        <v/>
      </c>
      <c r="AT6" s="14">
        <f>AT4-AT5</f>
        <v/>
      </c>
      <c r="AU6" s="14">
        <f>AU4-AU5</f>
        <v/>
      </c>
      <c r="AV6" s="14">
        <f>AV4-AV5</f>
        <v/>
      </c>
      <c r="AW6" s="14">
        <f>AW4-AW5</f>
        <v/>
      </c>
      <c r="AX6" s="14">
        <f>AX4-AX5</f>
        <v/>
      </c>
      <c r="AY6" s="14">
        <f>AY4-AY5</f>
        <v/>
      </c>
      <c r="AZ6" s="14">
        <f>AZ4-AZ5</f>
        <v/>
      </c>
      <c r="BA6" s="14">
        <f>BA4-BA5</f>
        <v/>
      </c>
      <c r="BB6" s="14">
        <f>BB4-BB5</f>
        <v/>
      </c>
      <c r="BC6" s="14">
        <f>BC4-BC5</f>
        <v/>
      </c>
      <c r="BD6" s="14">
        <f>BD4-BD5</f>
        <v/>
      </c>
      <c r="BE6" s="14">
        <f>BE4-BE5</f>
        <v/>
      </c>
      <c r="BF6" s="14">
        <f>BF4-BF5</f>
        <v/>
      </c>
      <c r="BG6" s="14">
        <f>BG4-BG5</f>
        <v/>
      </c>
      <c r="BH6" s="14">
        <f>BH4-BH5</f>
        <v/>
      </c>
      <c r="BI6" s="14">
        <f>BI4-BI5</f>
        <v/>
      </c>
      <c r="BJ6" s="14">
        <f>BJ4-BJ5</f>
        <v/>
      </c>
      <c r="BK6" s="14">
        <f>BK4-BK5</f>
        <v/>
      </c>
      <c r="BL6" s="14">
        <f>BL4-BL5</f>
        <v/>
      </c>
      <c r="BM6" s="14">
        <f>BM4-BM5</f>
        <v/>
      </c>
      <c r="BN6" s="14">
        <f>BN4-BN5</f>
        <v/>
      </c>
      <c r="BO6" s="14">
        <f>BO4-BO5</f>
        <v/>
      </c>
      <c r="BP6" s="14">
        <f>BP4-BP5</f>
        <v/>
      </c>
      <c r="BQ6" s="14">
        <f>BQ4-BQ5</f>
        <v/>
      </c>
      <c r="BR6" s="14">
        <f>BR4-BR5</f>
        <v/>
      </c>
      <c r="BS6" s="14">
        <f>BS4-BS5</f>
        <v/>
      </c>
      <c r="BT6" s="14">
        <f>BT4-BT5</f>
        <v/>
      </c>
      <c r="BU6" s="14">
        <f>BU4-BU5</f>
        <v/>
      </c>
      <c r="BV6" s="14">
        <f>BV4-BV5</f>
        <v/>
      </c>
      <c r="BW6" s="14">
        <f>BW4-BW5</f>
        <v/>
      </c>
      <c r="BX6" s="14">
        <f>BX4-BX5</f>
        <v/>
      </c>
      <c r="BY6" s="14">
        <f>BY4-BY5</f>
        <v/>
      </c>
      <c r="BZ6" s="14">
        <f>BZ4-BZ5</f>
        <v/>
      </c>
      <c r="CA6" s="14">
        <f>CA4-CA5</f>
        <v/>
      </c>
      <c r="CB6" s="14">
        <f>CB4-CB5</f>
        <v/>
      </c>
      <c r="CC6" s="14">
        <f>CC4-CC5</f>
        <v/>
      </c>
      <c r="CD6" s="14">
        <f>CD4-CD5</f>
        <v/>
      </c>
      <c r="CE6" s="14">
        <f>CE4-CE5</f>
        <v/>
      </c>
      <c r="CF6" s="14">
        <f>CF4-CF5</f>
        <v/>
      </c>
      <c r="CG6" s="14">
        <f>CG4-CG5</f>
        <v/>
      </c>
      <c r="CH6" s="14">
        <f>CH4-CH5</f>
        <v/>
      </c>
    </row>
    <row r="7">
      <c r="A7" s="3" t="inlineStr">
        <is>
          <t>Land and acquisition</t>
        </is>
      </c>
      <c r="B7" s="4" t="inlineStr">
        <is>
          <t>$</t>
        </is>
      </c>
      <c r="C7" s="12">
        <f>IF(C2=1,SourcesUses!$C$6,0)</f>
        <v/>
      </c>
      <c r="D7" s="12">
        <f>IF(D2=1,SourcesUses!$C$6,0)</f>
        <v/>
      </c>
      <c r="E7" s="12">
        <f>IF(E2=1,SourcesUses!$C$6,0)</f>
        <v/>
      </c>
      <c r="F7" s="12">
        <f>IF(F2=1,SourcesUses!$C$6,0)</f>
        <v/>
      </c>
      <c r="G7" s="12">
        <f>IF(G2=1,SourcesUses!$C$6,0)</f>
        <v/>
      </c>
      <c r="H7" s="12">
        <f>IF(H2=1,SourcesUses!$C$6,0)</f>
        <v/>
      </c>
      <c r="I7" s="12">
        <f>IF(I2=1,SourcesUses!$C$6,0)</f>
        <v/>
      </c>
      <c r="J7" s="12">
        <f>IF(J2=1,SourcesUses!$C$6,0)</f>
        <v/>
      </c>
      <c r="K7" s="12">
        <f>IF(K2=1,SourcesUses!$C$6,0)</f>
        <v/>
      </c>
      <c r="L7" s="12">
        <f>IF(L2=1,SourcesUses!$C$6,0)</f>
        <v/>
      </c>
      <c r="M7" s="12">
        <f>IF(M2=1,SourcesUses!$C$6,0)</f>
        <v/>
      </c>
      <c r="N7" s="12">
        <f>IF(N2=1,SourcesUses!$C$6,0)</f>
        <v/>
      </c>
      <c r="O7" s="12">
        <f>IF(O2=1,SourcesUses!$C$6,0)</f>
        <v/>
      </c>
      <c r="P7" s="12">
        <f>IF(P2=1,SourcesUses!$C$6,0)</f>
        <v/>
      </c>
      <c r="Q7" s="12">
        <f>IF(Q2=1,SourcesUses!$C$6,0)</f>
        <v/>
      </c>
      <c r="R7" s="12">
        <f>IF(R2=1,SourcesUses!$C$6,0)</f>
        <v/>
      </c>
      <c r="S7" s="12">
        <f>IF(S2=1,SourcesUses!$C$6,0)</f>
        <v/>
      </c>
      <c r="T7" s="12">
        <f>IF(T2=1,SourcesUses!$C$6,0)</f>
        <v/>
      </c>
      <c r="U7" s="12">
        <f>IF(U2=1,SourcesUses!$C$6,0)</f>
        <v/>
      </c>
      <c r="V7" s="12">
        <f>IF(V2=1,SourcesUses!$C$6,0)</f>
        <v/>
      </c>
      <c r="W7" s="12">
        <f>IF(W2=1,SourcesUses!$C$6,0)</f>
        <v/>
      </c>
      <c r="X7" s="12">
        <f>IF(X2=1,SourcesUses!$C$6,0)</f>
        <v/>
      </c>
      <c r="Y7" s="12">
        <f>IF(Y2=1,SourcesUses!$C$6,0)</f>
        <v/>
      </c>
      <c r="Z7" s="12">
        <f>IF(Z2=1,SourcesUses!$C$6,0)</f>
        <v/>
      </c>
      <c r="AA7" s="12">
        <f>IF(AA2=1,SourcesUses!$C$6,0)</f>
        <v/>
      </c>
      <c r="AB7" s="12">
        <f>IF(AB2=1,SourcesUses!$C$6,0)</f>
        <v/>
      </c>
      <c r="AC7" s="12">
        <f>IF(AC2=1,SourcesUses!$C$6,0)</f>
        <v/>
      </c>
      <c r="AD7" s="12">
        <f>IF(AD2=1,SourcesUses!$C$6,0)</f>
        <v/>
      </c>
      <c r="AE7" s="12">
        <f>IF(AE2=1,SourcesUses!$C$6,0)</f>
        <v/>
      </c>
      <c r="AF7" s="12">
        <f>IF(AF2=1,SourcesUses!$C$6,0)</f>
        <v/>
      </c>
      <c r="AG7" s="12">
        <f>IF(AG2=1,SourcesUses!$C$6,0)</f>
        <v/>
      </c>
      <c r="AH7" s="12">
        <f>IF(AH2=1,SourcesUses!$C$6,0)</f>
        <v/>
      </c>
      <c r="AI7" s="12">
        <f>IF(AI2=1,SourcesUses!$C$6,0)</f>
        <v/>
      </c>
      <c r="AJ7" s="12">
        <f>IF(AJ2=1,SourcesUses!$C$6,0)</f>
        <v/>
      </c>
      <c r="AK7" s="12">
        <f>IF(AK2=1,SourcesUses!$C$6,0)</f>
        <v/>
      </c>
      <c r="AL7" s="12">
        <f>IF(AL2=1,SourcesUses!$C$6,0)</f>
        <v/>
      </c>
      <c r="AM7" s="12">
        <f>IF(AM2=1,SourcesUses!$C$6,0)</f>
        <v/>
      </c>
      <c r="AN7" s="12">
        <f>IF(AN2=1,SourcesUses!$C$6,0)</f>
        <v/>
      </c>
      <c r="AO7" s="12">
        <f>IF(AO2=1,SourcesUses!$C$6,0)</f>
        <v/>
      </c>
      <c r="AP7" s="12">
        <f>IF(AP2=1,SourcesUses!$C$6,0)</f>
        <v/>
      </c>
      <c r="AQ7" s="12">
        <f>IF(AQ2=1,SourcesUses!$C$6,0)</f>
        <v/>
      </c>
      <c r="AR7" s="12">
        <f>IF(AR2=1,SourcesUses!$C$6,0)</f>
        <v/>
      </c>
      <c r="AS7" s="12">
        <f>IF(AS2=1,SourcesUses!$C$6,0)</f>
        <v/>
      </c>
      <c r="AT7" s="12">
        <f>IF(AT2=1,SourcesUses!$C$6,0)</f>
        <v/>
      </c>
      <c r="AU7" s="12">
        <f>IF(AU2=1,SourcesUses!$C$6,0)</f>
        <v/>
      </c>
      <c r="AV7" s="12">
        <f>IF(AV2=1,SourcesUses!$C$6,0)</f>
        <v/>
      </c>
      <c r="AW7" s="12">
        <f>IF(AW2=1,SourcesUses!$C$6,0)</f>
        <v/>
      </c>
      <c r="AX7" s="12">
        <f>IF(AX2=1,SourcesUses!$C$6,0)</f>
        <v/>
      </c>
      <c r="AY7" s="12">
        <f>IF(AY2=1,SourcesUses!$C$6,0)</f>
        <v/>
      </c>
      <c r="AZ7" s="12">
        <f>IF(AZ2=1,SourcesUses!$C$6,0)</f>
        <v/>
      </c>
      <c r="BA7" s="12">
        <f>IF(BA2=1,SourcesUses!$C$6,0)</f>
        <v/>
      </c>
      <c r="BB7" s="12">
        <f>IF(BB2=1,SourcesUses!$C$6,0)</f>
        <v/>
      </c>
      <c r="BC7" s="12">
        <f>IF(BC2=1,SourcesUses!$C$6,0)</f>
        <v/>
      </c>
      <c r="BD7" s="12">
        <f>IF(BD2=1,SourcesUses!$C$6,0)</f>
        <v/>
      </c>
      <c r="BE7" s="12">
        <f>IF(BE2=1,SourcesUses!$C$6,0)</f>
        <v/>
      </c>
      <c r="BF7" s="12">
        <f>IF(BF2=1,SourcesUses!$C$6,0)</f>
        <v/>
      </c>
      <c r="BG7" s="12">
        <f>IF(BG2=1,SourcesUses!$C$6,0)</f>
        <v/>
      </c>
      <c r="BH7" s="12">
        <f>IF(BH2=1,SourcesUses!$C$6,0)</f>
        <v/>
      </c>
      <c r="BI7" s="12">
        <f>IF(BI2=1,SourcesUses!$C$6,0)</f>
        <v/>
      </c>
      <c r="BJ7" s="12">
        <f>IF(BJ2=1,SourcesUses!$C$6,0)</f>
        <v/>
      </c>
      <c r="BK7" s="12">
        <f>IF(BK2=1,SourcesUses!$C$6,0)</f>
        <v/>
      </c>
      <c r="BL7" s="12">
        <f>IF(BL2=1,SourcesUses!$C$6,0)</f>
        <v/>
      </c>
      <c r="BM7" s="12">
        <f>IF(BM2=1,SourcesUses!$C$6,0)</f>
        <v/>
      </c>
      <c r="BN7" s="12">
        <f>IF(BN2=1,SourcesUses!$C$6,0)</f>
        <v/>
      </c>
      <c r="BO7" s="12">
        <f>IF(BO2=1,SourcesUses!$C$6,0)</f>
        <v/>
      </c>
      <c r="BP7" s="12">
        <f>IF(BP2=1,SourcesUses!$C$6,0)</f>
        <v/>
      </c>
      <c r="BQ7" s="12">
        <f>IF(BQ2=1,SourcesUses!$C$6,0)</f>
        <v/>
      </c>
      <c r="BR7" s="12">
        <f>IF(BR2=1,SourcesUses!$C$6,0)</f>
        <v/>
      </c>
      <c r="BS7" s="12">
        <f>IF(BS2=1,SourcesUses!$C$6,0)</f>
        <v/>
      </c>
      <c r="BT7" s="12">
        <f>IF(BT2=1,SourcesUses!$C$6,0)</f>
        <v/>
      </c>
      <c r="BU7" s="12">
        <f>IF(BU2=1,SourcesUses!$C$6,0)</f>
        <v/>
      </c>
      <c r="BV7" s="12">
        <f>IF(BV2=1,SourcesUses!$C$6,0)</f>
        <v/>
      </c>
      <c r="BW7" s="12">
        <f>IF(BW2=1,SourcesUses!$C$6,0)</f>
        <v/>
      </c>
      <c r="BX7" s="12">
        <f>IF(BX2=1,SourcesUses!$C$6,0)</f>
        <v/>
      </c>
      <c r="BY7" s="12">
        <f>IF(BY2=1,SourcesUses!$C$6,0)</f>
        <v/>
      </c>
      <c r="BZ7" s="12">
        <f>IF(BZ2=1,SourcesUses!$C$6,0)</f>
        <v/>
      </c>
      <c r="CA7" s="12">
        <f>IF(CA2=1,SourcesUses!$C$6,0)</f>
        <v/>
      </c>
      <c r="CB7" s="12">
        <f>IF(CB2=1,SourcesUses!$C$6,0)</f>
        <v/>
      </c>
      <c r="CC7" s="12">
        <f>IF(CC2=1,SourcesUses!$C$6,0)</f>
        <v/>
      </c>
      <c r="CD7" s="12">
        <f>IF(CD2=1,SourcesUses!$C$6,0)</f>
        <v/>
      </c>
      <c r="CE7" s="12">
        <f>IF(CE2=1,SourcesUses!$C$6,0)</f>
        <v/>
      </c>
      <c r="CF7" s="12">
        <f>IF(CF2=1,SourcesUses!$C$6,0)</f>
        <v/>
      </c>
      <c r="CG7" s="12">
        <f>IF(CG2=1,SourcesUses!$C$6,0)</f>
        <v/>
      </c>
      <c r="CH7" s="12">
        <f>IF(CH2=1,SourcesUses!$C$6,0)</f>
        <v/>
      </c>
    </row>
    <row r="8">
      <c r="A8" s="3" t="inlineStr">
        <is>
          <t>Non-land uses</t>
        </is>
      </c>
      <c r="B8" s="4" t="inlineStr">
        <is>
          <t>$</t>
        </is>
      </c>
      <c r="C8" s="12">
        <f>SourcesUses!$C$32*C6</f>
        <v/>
      </c>
      <c r="D8" s="12">
        <f>SourcesUses!$C$32*D6</f>
        <v/>
      </c>
      <c r="E8" s="12">
        <f>SourcesUses!$C$32*E6</f>
        <v/>
      </c>
      <c r="F8" s="12">
        <f>SourcesUses!$C$32*F6</f>
        <v/>
      </c>
      <c r="G8" s="12">
        <f>SourcesUses!$C$32*G6</f>
        <v/>
      </c>
      <c r="H8" s="12">
        <f>SourcesUses!$C$32*H6</f>
        <v/>
      </c>
      <c r="I8" s="12">
        <f>SourcesUses!$C$32*I6</f>
        <v/>
      </c>
      <c r="J8" s="12">
        <f>SourcesUses!$C$32*J6</f>
        <v/>
      </c>
      <c r="K8" s="12">
        <f>SourcesUses!$C$32*K6</f>
        <v/>
      </c>
      <c r="L8" s="12">
        <f>SourcesUses!$C$32*L6</f>
        <v/>
      </c>
      <c r="M8" s="12">
        <f>SourcesUses!$C$32*M6</f>
        <v/>
      </c>
      <c r="N8" s="12">
        <f>SourcesUses!$C$32*N6</f>
        <v/>
      </c>
      <c r="O8" s="12">
        <f>SourcesUses!$C$32*O6</f>
        <v/>
      </c>
      <c r="P8" s="12">
        <f>SourcesUses!$C$32*P6</f>
        <v/>
      </c>
      <c r="Q8" s="12">
        <f>SourcesUses!$C$32*Q6</f>
        <v/>
      </c>
      <c r="R8" s="12">
        <f>SourcesUses!$C$32*R6</f>
        <v/>
      </c>
      <c r="S8" s="12">
        <f>SourcesUses!$C$32*S6</f>
        <v/>
      </c>
      <c r="T8" s="12">
        <f>SourcesUses!$C$32*T6</f>
        <v/>
      </c>
      <c r="U8" s="12">
        <f>SourcesUses!$C$32*U6</f>
        <v/>
      </c>
      <c r="V8" s="12">
        <f>SourcesUses!$C$32*V6</f>
        <v/>
      </c>
      <c r="W8" s="12">
        <f>SourcesUses!$C$32*W6</f>
        <v/>
      </c>
      <c r="X8" s="12">
        <f>SourcesUses!$C$32*X6</f>
        <v/>
      </c>
      <c r="Y8" s="12">
        <f>SourcesUses!$C$32*Y6</f>
        <v/>
      </c>
      <c r="Z8" s="12">
        <f>SourcesUses!$C$32*Z6</f>
        <v/>
      </c>
      <c r="AA8" s="12">
        <f>SourcesUses!$C$32*AA6</f>
        <v/>
      </c>
      <c r="AB8" s="12">
        <f>SourcesUses!$C$32*AB6</f>
        <v/>
      </c>
      <c r="AC8" s="12">
        <f>SourcesUses!$C$32*AC6</f>
        <v/>
      </c>
      <c r="AD8" s="12">
        <f>SourcesUses!$C$32*AD6</f>
        <v/>
      </c>
      <c r="AE8" s="12">
        <f>SourcesUses!$C$32*AE6</f>
        <v/>
      </c>
      <c r="AF8" s="12">
        <f>SourcesUses!$C$32*AF6</f>
        <v/>
      </c>
      <c r="AG8" s="12">
        <f>SourcesUses!$C$32*AG6</f>
        <v/>
      </c>
      <c r="AH8" s="12">
        <f>SourcesUses!$C$32*AH6</f>
        <v/>
      </c>
      <c r="AI8" s="12">
        <f>SourcesUses!$C$32*AI6</f>
        <v/>
      </c>
      <c r="AJ8" s="12">
        <f>SourcesUses!$C$32*AJ6</f>
        <v/>
      </c>
      <c r="AK8" s="12">
        <f>SourcesUses!$C$32*AK6</f>
        <v/>
      </c>
      <c r="AL8" s="12">
        <f>SourcesUses!$C$32*AL6</f>
        <v/>
      </c>
      <c r="AM8" s="12">
        <f>SourcesUses!$C$32*AM6</f>
        <v/>
      </c>
      <c r="AN8" s="12">
        <f>SourcesUses!$C$32*AN6</f>
        <v/>
      </c>
      <c r="AO8" s="12">
        <f>SourcesUses!$C$32*AO6</f>
        <v/>
      </c>
      <c r="AP8" s="12">
        <f>SourcesUses!$C$32*AP6</f>
        <v/>
      </c>
      <c r="AQ8" s="12">
        <f>SourcesUses!$C$32*AQ6</f>
        <v/>
      </c>
      <c r="AR8" s="12">
        <f>SourcesUses!$C$32*AR6</f>
        <v/>
      </c>
      <c r="AS8" s="12">
        <f>SourcesUses!$C$32*AS6</f>
        <v/>
      </c>
      <c r="AT8" s="12">
        <f>SourcesUses!$C$32*AT6</f>
        <v/>
      </c>
      <c r="AU8" s="12">
        <f>SourcesUses!$C$32*AU6</f>
        <v/>
      </c>
      <c r="AV8" s="12">
        <f>SourcesUses!$C$32*AV6</f>
        <v/>
      </c>
      <c r="AW8" s="12">
        <f>SourcesUses!$C$32*AW6</f>
        <v/>
      </c>
      <c r="AX8" s="12">
        <f>SourcesUses!$C$32*AX6</f>
        <v/>
      </c>
      <c r="AY8" s="12">
        <f>SourcesUses!$C$32*AY6</f>
        <v/>
      </c>
      <c r="AZ8" s="12">
        <f>SourcesUses!$C$32*AZ6</f>
        <v/>
      </c>
      <c r="BA8" s="12">
        <f>SourcesUses!$C$32*BA6</f>
        <v/>
      </c>
      <c r="BB8" s="12">
        <f>SourcesUses!$C$32*BB6</f>
        <v/>
      </c>
      <c r="BC8" s="12">
        <f>SourcesUses!$C$32*BC6</f>
        <v/>
      </c>
      <c r="BD8" s="12">
        <f>SourcesUses!$C$32*BD6</f>
        <v/>
      </c>
      <c r="BE8" s="12">
        <f>SourcesUses!$C$32*BE6</f>
        <v/>
      </c>
      <c r="BF8" s="12">
        <f>SourcesUses!$C$32*BF6</f>
        <v/>
      </c>
      <c r="BG8" s="12">
        <f>SourcesUses!$C$32*BG6</f>
        <v/>
      </c>
      <c r="BH8" s="12">
        <f>SourcesUses!$C$32*BH6</f>
        <v/>
      </c>
      <c r="BI8" s="12">
        <f>SourcesUses!$C$32*BI6</f>
        <v/>
      </c>
      <c r="BJ8" s="12">
        <f>SourcesUses!$C$32*BJ6</f>
        <v/>
      </c>
      <c r="BK8" s="12">
        <f>SourcesUses!$C$32*BK6</f>
        <v/>
      </c>
      <c r="BL8" s="12">
        <f>SourcesUses!$C$32*BL6</f>
        <v/>
      </c>
      <c r="BM8" s="12">
        <f>SourcesUses!$C$32*BM6</f>
        <v/>
      </c>
      <c r="BN8" s="12">
        <f>SourcesUses!$C$32*BN6</f>
        <v/>
      </c>
      <c r="BO8" s="12">
        <f>SourcesUses!$C$32*BO6</f>
        <v/>
      </c>
      <c r="BP8" s="12">
        <f>SourcesUses!$C$32*BP6</f>
        <v/>
      </c>
      <c r="BQ8" s="12">
        <f>SourcesUses!$C$32*BQ6</f>
        <v/>
      </c>
      <c r="BR8" s="12">
        <f>SourcesUses!$C$32*BR6</f>
        <v/>
      </c>
      <c r="BS8" s="12">
        <f>SourcesUses!$C$32*BS6</f>
        <v/>
      </c>
      <c r="BT8" s="12">
        <f>SourcesUses!$C$32*BT6</f>
        <v/>
      </c>
      <c r="BU8" s="12">
        <f>SourcesUses!$C$32*BU6</f>
        <v/>
      </c>
      <c r="BV8" s="12">
        <f>SourcesUses!$C$32*BV6</f>
        <v/>
      </c>
      <c r="BW8" s="12">
        <f>SourcesUses!$C$32*BW6</f>
        <v/>
      </c>
      <c r="BX8" s="12">
        <f>SourcesUses!$C$32*BX6</f>
        <v/>
      </c>
      <c r="BY8" s="12">
        <f>SourcesUses!$C$32*BY6</f>
        <v/>
      </c>
      <c r="BZ8" s="12">
        <f>SourcesUses!$C$32*BZ6</f>
        <v/>
      </c>
      <c r="CA8" s="12">
        <f>SourcesUses!$C$32*CA6</f>
        <v/>
      </c>
      <c r="CB8" s="12">
        <f>SourcesUses!$C$32*CB6</f>
        <v/>
      </c>
      <c r="CC8" s="12">
        <f>SourcesUses!$C$32*CC6</f>
        <v/>
      </c>
      <c r="CD8" s="12">
        <f>SourcesUses!$C$32*CD6</f>
        <v/>
      </c>
      <c r="CE8" s="12">
        <f>SourcesUses!$C$32*CE6</f>
        <v/>
      </c>
      <c r="CF8" s="12">
        <f>SourcesUses!$C$32*CF6</f>
        <v/>
      </c>
      <c r="CG8" s="12">
        <f>SourcesUses!$C$32*CG6</f>
        <v/>
      </c>
      <c r="CH8" s="12">
        <f>SourcesUses!$C$32*CH6</f>
        <v/>
      </c>
    </row>
    <row r="9">
      <c r="A9" s="3" t="inlineStr">
        <is>
          <t>Construction loan costs</t>
        </is>
      </c>
      <c r="B9" s="4" t="inlineStr">
        <is>
          <t>$</t>
        </is>
      </c>
      <c r="C9" s="12">
        <f>IF(C2=1,SourcesUses!$C$23,0)</f>
        <v/>
      </c>
      <c r="D9" s="12">
        <f>IF(D2=1,SourcesUses!$C$23,0)</f>
        <v/>
      </c>
      <c r="E9" s="12">
        <f>IF(E2=1,SourcesUses!$C$23,0)</f>
        <v/>
      </c>
      <c r="F9" s="12">
        <f>IF(F2=1,SourcesUses!$C$23,0)</f>
        <v/>
      </c>
      <c r="G9" s="12">
        <f>IF(G2=1,SourcesUses!$C$23,0)</f>
        <v/>
      </c>
      <c r="H9" s="12">
        <f>IF(H2=1,SourcesUses!$C$23,0)</f>
        <v/>
      </c>
      <c r="I9" s="12">
        <f>IF(I2=1,SourcesUses!$C$23,0)</f>
        <v/>
      </c>
      <c r="J9" s="12">
        <f>IF(J2=1,SourcesUses!$C$23,0)</f>
        <v/>
      </c>
      <c r="K9" s="12">
        <f>IF(K2=1,SourcesUses!$C$23,0)</f>
        <v/>
      </c>
      <c r="L9" s="12">
        <f>IF(L2=1,SourcesUses!$C$23,0)</f>
        <v/>
      </c>
      <c r="M9" s="12">
        <f>IF(M2=1,SourcesUses!$C$23,0)</f>
        <v/>
      </c>
      <c r="N9" s="12">
        <f>IF(N2=1,SourcesUses!$C$23,0)</f>
        <v/>
      </c>
      <c r="O9" s="12">
        <f>IF(O2=1,SourcesUses!$C$23,0)</f>
        <v/>
      </c>
      <c r="P9" s="12">
        <f>IF(P2=1,SourcesUses!$C$23,0)</f>
        <v/>
      </c>
      <c r="Q9" s="12">
        <f>IF(Q2=1,SourcesUses!$C$23,0)</f>
        <v/>
      </c>
      <c r="R9" s="12">
        <f>IF(R2=1,SourcesUses!$C$23,0)</f>
        <v/>
      </c>
      <c r="S9" s="12">
        <f>IF(S2=1,SourcesUses!$C$23,0)</f>
        <v/>
      </c>
      <c r="T9" s="12">
        <f>IF(T2=1,SourcesUses!$C$23,0)</f>
        <v/>
      </c>
      <c r="U9" s="12">
        <f>IF(U2=1,SourcesUses!$C$23,0)</f>
        <v/>
      </c>
      <c r="V9" s="12">
        <f>IF(V2=1,SourcesUses!$C$23,0)</f>
        <v/>
      </c>
      <c r="W9" s="12">
        <f>IF(W2=1,SourcesUses!$C$23,0)</f>
        <v/>
      </c>
      <c r="X9" s="12">
        <f>IF(X2=1,SourcesUses!$C$23,0)</f>
        <v/>
      </c>
      <c r="Y9" s="12">
        <f>IF(Y2=1,SourcesUses!$C$23,0)</f>
        <v/>
      </c>
      <c r="Z9" s="12">
        <f>IF(Z2=1,SourcesUses!$C$23,0)</f>
        <v/>
      </c>
      <c r="AA9" s="12">
        <f>IF(AA2=1,SourcesUses!$C$23,0)</f>
        <v/>
      </c>
      <c r="AB9" s="12">
        <f>IF(AB2=1,SourcesUses!$C$23,0)</f>
        <v/>
      </c>
      <c r="AC9" s="12">
        <f>IF(AC2=1,SourcesUses!$C$23,0)</f>
        <v/>
      </c>
      <c r="AD9" s="12">
        <f>IF(AD2=1,SourcesUses!$C$23,0)</f>
        <v/>
      </c>
      <c r="AE9" s="12">
        <f>IF(AE2=1,SourcesUses!$C$23,0)</f>
        <v/>
      </c>
      <c r="AF9" s="12">
        <f>IF(AF2=1,SourcesUses!$C$23,0)</f>
        <v/>
      </c>
      <c r="AG9" s="12">
        <f>IF(AG2=1,SourcesUses!$C$23,0)</f>
        <v/>
      </c>
      <c r="AH9" s="12">
        <f>IF(AH2=1,SourcesUses!$C$23,0)</f>
        <v/>
      </c>
      <c r="AI9" s="12">
        <f>IF(AI2=1,SourcesUses!$C$23,0)</f>
        <v/>
      </c>
      <c r="AJ9" s="12">
        <f>IF(AJ2=1,SourcesUses!$C$23,0)</f>
        <v/>
      </c>
      <c r="AK9" s="12">
        <f>IF(AK2=1,SourcesUses!$C$23,0)</f>
        <v/>
      </c>
      <c r="AL9" s="12">
        <f>IF(AL2=1,SourcesUses!$C$23,0)</f>
        <v/>
      </c>
      <c r="AM9" s="12">
        <f>IF(AM2=1,SourcesUses!$C$23,0)</f>
        <v/>
      </c>
      <c r="AN9" s="12">
        <f>IF(AN2=1,SourcesUses!$C$23,0)</f>
        <v/>
      </c>
      <c r="AO9" s="12">
        <f>IF(AO2=1,SourcesUses!$C$23,0)</f>
        <v/>
      </c>
      <c r="AP9" s="12">
        <f>IF(AP2=1,SourcesUses!$C$23,0)</f>
        <v/>
      </c>
      <c r="AQ9" s="12">
        <f>IF(AQ2=1,SourcesUses!$C$23,0)</f>
        <v/>
      </c>
      <c r="AR9" s="12">
        <f>IF(AR2=1,SourcesUses!$C$23,0)</f>
        <v/>
      </c>
      <c r="AS9" s="12">
        <f>IF(AS2=1,SourcesUses!$C$23,0)</f>
        <v/>
      </c>
      <c r="AT9" s="12">
        <f>IF(AT2=1,SourcesUses!$C$23,0)</f>
        <v/>
      </c>
      <c r="AU9" s="12">
        <f>IF(AU2=1,SourcesUses!$C$23,0)</f>
        <v/>
      </c>
      <c r="AV9" s="12">
        <f>IF(AV2=1,SourcesUses!$C$23,0)</f>
        <v/>
      </c>
      <c r="AW9" s="12">
        <f>IF(AW2=1,SourcesUses!$C$23,0)</f>
        <v/>
      </c>
      <c r="AX9" s="12">
        <f>IF(AX2=1,SourcesUses!$C$23,0)</f>
        <v/>
      </c>
      <c r="AY9" s="12">
        <f>IF(AY2=1,SourcesUses!$C$23,0)</f>
        <v/>
      </c>
      <c r="AZ9" s="12">
        <f>IF(AZ2=1,SourcesUses!$C$23,0)</f>
        <v/>
      </c>
      <c r="BA9" s="12">
        <f>IF(BA2=1,SourcesUses!$C$23,0)</f>
        <v/>
      </c>
      <c r="BB9" s="12">
        <f>IF(BB2=1,SourcesUses!$C$23,0)</f>
        <v/>
      </c>
      <c r="BC9" s="12">
        <f>IF(BC2=1,SourcesUses!$C$23,0)</f>
        <v/>
      </c>
      <c r="BD9" s="12">
        <f>IF(BD2=1,SourcesUses!$C$23,0)</f>
        <v/>
      </c>
      <c r="BE9" s="12">
        <f>IF(BE2=1,SourcesUses!$C$23,0)</f>
        <v/>
      </c>
      <c r="BF9" s="12">
        <f>IF(BF2=1,SourcesUses!$C$23,0)</f>
        <v/>
      </c>
      <c r="BG9" s="12">
        <f>IF(BG2=1,SourcesUses!$C$23,0)</f>
        <v/>
      </c>
      <c r="BH9" s="12">
        <f>IF(BH2=1,SourcesUses!$C$23,0)</f>
        <v/>
      </c>
      <c r="BI9" s="12">
        <f>IF(BI2=1,SourcesUses!$C$23,0)</f>
        <v/>
      </c>
      <c r="BJ9" s="12">
        <f>IF(BJ2=1,SourcesUses!$C$23,0)</f>
        <v/>
      </c>
      <c r="BK9" s="12">
        <f>IF(BK2=1,SourcesUses!$C$23,0)</f>
        <v/>
      </c>
      <c r="BL9" s="12">
        <f>IF(BL2=1,SourcesUses!$C$23,0)</f>
        <v/>
      </c>
      <c r="BM9" s="12">
        <f>IF(BM2=1,SourcesUses!$C$23,0)</f>
        <v/>
      </c>
      <c r="BN9" s="12">
        <f>IF(BN2=1,SourcesUses!$C$23,0)</f>
        <v/>
      </c>
      <c r="BO9" s="12">
        <f>IF(BO2=1,SourcesUses!$C$23,0)</f>
        <v/>
      </c>
      <c r="BP9" s="12">
        <f>IF(BP2=1,SourcesUses!$C$23,0)</f>
        <v/>
      </c>
      <c r="BQ9" s="12">
        <f>IF(BQ2=1,SourcesUses!$C$23,0)</f>
        <v/>
      </c>
      <c r="BR9" s="12">
        <f>IF(BR2=1,SourcesUses!$C$23,0)</f>
        <v/>
      </c>
      <c r="BS9" s="12">
        <f>IF(BS2=1,SourcesUses!$C$23,0)</f>
        <v/>
      </c>
      <c r="BT9" s="12">
        <f>IF(BT2=1,SourcesUses!$C$23,0)</f>
        <v/>
      </c>
      <c r="BU9" s="12">
        <f>IF(BU2=1,SourcesUses!$C$23,0)</f>
        <v/>
      </c>
      <c r="BV9" s="12">
        <f>IF(BV2=1,SourcesUses!$C$23,0)</f>
        <v/>
      </c>
      <c r="BW9" s="12">
        <f>IF(BW2=1,SourcesUses!$C$23,0)</f>
        <v/>
      </c>
      <c r="BX9" s="12">
        <f>IF(BX2=1,SourcesUses!$C$23,0)</f>
        <v/>
      </c>
      <c r="BY9" s="12">
        <f>IF(BY2=1,SourcesUses!$C$23,0)</f>
        <v/>
      </c>
      <c r="BZ9" s="12">
        <f>IF(BZ2=1,SourcesUses!$C$23,0)</f>
        <v/>
      </c>
      <c r="CA9" s="12">
        <f>IF(CA2=1,SourcesUses!$C$23,0)</f>
        <v/>
      </c>
      <c r="CB9" s="12">
        <f>IF(CB2=1,SourcesUses!$C$23,0)</f>
        <v/>
      </c>
      <c r="CC9" s="12">
        <f>IF(CC2=1,SourcesUses!$C$23,0)</f>
        <v/>
      </c>
      <c r="CD9" s="12">
        <f>IF(CD2=1,SourcesUses!$C$23,0)</f>
        <v/>
      </c>
      <c r="CE9" s="12">
        <f>IF(CE2=1,SourcesUses!$C$23,0)</f>
        <v/>
      </c>
      <c r="CF9" s="12">
        <f>IF(CF2=1,SourcesUses!$C$23,0)</f>
        <v/>
      </c>
      <c r="CG9" s="12">
        <f>IF(CG2=1,SourcesUses!$C$23,0)</f>
        <v/>
      </c>
      <c r="CH9" s="12">
        <f>IF(CH2=1,SourcesUses!$C$23,0)</f>
        <v/>
      </c>
    </row>
    <row r="10">
      <c r="A10" s="3" t="inlineStr">
        <is>
          <t>Budget spend</t>
        </is>
      </c>
      <c r="B10" s="4" t="inlineStr">
        <is>
          <t>$</t>
        </is>
      </c>
      <c r="C10" s="12">
        <f>C7+C8+C9</f>
        <v/>
      </c>
      <c r="D10" s="12">
        <f>D7+D8+D9</f>
        <v/>
      </c>
      <c r="E10" s="12">
        <f>E7+E8+E9</f>
        <v/>
      </c>
      <c r="F10" s="12">
        <f>F7+F8+F9</f>
        <v/>
      </c>
      <c r="G10" s="12">
        <f>G7+G8+G9</f>
        <v/>
      </c>
      <c r="H10" s="12">
        <f>H7+H8+H9</f>
        <v/>
      </c>
      <c r="I10" s="12">
        <f>I7+I8+I9</f>
        <v/>
      </c>
      <c r="J10" s="12">
        <f>J7+J8+J9</f>
        <v/>
      </c>
      <c r="K10" s="12">
        <f>K7+K8+K9</f>
        <v/>
      </c>
      <c r="L10" s="12">
        <f>L7+L8+L9</f>
        <v/>
      </c>
      <c r="M10" s="12">
        <f>M7+M8+M9</f>
        <v/>
      </c>
      <c r="N10" s="12">
        <f>N7+N8+N9</f>
        <v/>
      </c>
      <c r="O10" s="12">
        <f>O7+O8+O9</f>
        <v/>
      </c>
      <c r="P10" s="12">
        <f>P7+P8+P9</f>
        <v/>
      </c>
      <c r="Q10" s="12">
        <f>Q7+Q8+Q9</f>
        <v/>
      </c>
      <c r="R10" s="12">
        <f>R7+R8+R9</f>
        <v/>
      </c>
      <c r="S10" s="12">
        <f>S7+S8+S9</f>
        <v/>
      </c>
      <c r="T10" s="12">
        <f>T7+T8+T9</f>
        <v/>
      </c>
      <c r="U10" s="12">
        <f>U7+U8+U9</f>
        <v/>
      </c>
      <c r="V10" s="12">
        <f>V7+V8+V9</f>
        <v/>
      </c>
      <c r="W10" s="12">
        <f>W7+W8+W9</f>
        <v/>
      </c>
      <c r="X10" s="12">
        <f>X7+X8+X9</f>
        <v/>
      </c>
      <c r="Y10" s="12">
        <f>Y7+Y8+Y9</f>
        <v/>
      </c>
      <c r="Z10" s="12">
        <f>Z7+Z8+Z9</f>
        <v/>
      </c>
      <c r="AA10" s="12">
        <f>AA7+AA8+AA9</f>
        <v/>
      </c>
      <c r="AB10" s="12">
        <f>AB7+AB8+AB9</f>
        <v/>
      </c>
      <c r="AC10" s="12">
        <f>AC7+AC8+AC9</f>
        <v/>
      </c>
      <c r="AD10" s="12">
        <f>AD7+AD8+AD9</f>
        <v/>
      </c>
      <c r="AE10" s="12">
        <f>AE7+AE8+AE9</f>
        <v/>
      </c>
      <c r="AF10" s="12">
        <f>AF7+AF8+AF9</f>
        <v/>
      </c>
      <c r="AG10" s="12">
        <f>AG7+AG8+AG9</f>
        <v/>
      </c>
      <c r="AH10" s="12">
        <f>AH7+AH8+AH9</f>
        <v/>
      </c>
      <c r="AI10" s="12">
        <f>AI7+AI8+AI9</f>
        <v/>
      </c>
      <c r="AJ10" s="12">
        <f>AJ7+AJ8+AJ9</f>
        <v/>
      </c>
      <c r="AK10" s="12">
        <f>AK7+AK8+AK9</f>
        <v/>
      </c>
      <c r="AL10" s="12">
        <f>AL7+AL8+AL9</f>
        <v/>
      </c>
      <c r="AM10" s="12">
        <f>AM7+AM8+AM9</f>
        <v/>
      </c>
      <c r="AN10" s="12">
        <f>AN7+AN8+AN9</f>
        <v/>
      </c>
      <c r="AO10" s="12">
        <f>AO7+AO8+AO9</f>
        <v/>
      </c>
      <c r="AP10" s="12">
        <f>AP7+AP8+AP9</f>
        <v/>
      </c>
      <c r="AQ10" s="12">
        <f>AQ7+AQ8+AQ9</f>
        <v/>
      </c>
      <c r="AR10" s="12">
        <f>AR7+AR8+AR9</f>
        <v/>
      </c>
      <c r="AS10" s="12">
        <f>AS7+AS8+AS9</f>
        <v/>
      </c>
      <c r="AT10" s="12">
        <f>AT7+AT8+AT9</f>
        <v/>
      </c>
      <c r="AU10" s="12">
        <f>AU7+AU8+AU9</f>
        <v/>
      </c>
      <c r="AV10" s="12">
        <f>AV7+AV8+AV9</f>
        <v/>
      </c>
      <c r="AW10" s="12">
        <f>AW7+AW8+AW9</f>
        <v/>
      </c>
      <c r="AX10" s="12">
        <f>AX7+AX8+AX9</f>
        <v/>
      </c>
      <c r="AY10" s="12">
        <f>AY7+AY8+AY9</f>
        <v/>
      </c>
      <c r="AZ10" s="12">
        <f>AZ7+AZ8+AZ9</f>
        <v/>
      </c>
      <c r="BA10" s="12">
        <f>BA7+BA8+BA9</f>
        <v/>
      </c>
      <c r="BB10" s="12">
        <f>BB7+BB8+BB9</f>
        <v/>
      </c>
      <c r="BC10" s="12">
        <f>BC7+BC8+BC9</f>
        <v/>
      </c>
      <c r="BD10" s="12">
        <f>BD7+BD8+BD9</f>
        <v/>
      </c>
      <c r="BE10" s="12">
        <f>BE7+BE8+BE9</f>
        <v/>
      </c>
      <c r="BF10" s="12">
        <f>BF7+BF8+BF9</f>
        <v/>
      </c>
      <c r="BG10" s="12">
        <f>BG7+BG8+BG9</f>
        <v/>
      </c>
      <c r="BH10" s="12">
        <f>BH7+BH8+BH9</f>
        <v/>
      </c>
      <c r="BI10" s="12">
        <f>BI7+BI8+BI9</f>
        <v/>
      </c>
      <c r="BJ10" s="12">
        <f>BJ7+BJ8+BJ9</f>
        <v/>
      </c>
      <c r="BK10" s="12">
        <f>BK7+BK8+BK9</f>
        <v/>
      </c>
      <c r="BL10" s="12">
        <f>BL7+BL8+BL9</f>
        <v/>
      </c>
      <c r="BM10" s="12">
        <f>BM7+BM8+BM9</f>
        <v/>
      </c>
      <c r="BN10" s="12">
        <f>BN7+BN8+BN9</f>
        <v/>
      </c>
      <c r="BO10" s="12">
        <f>BO7+BO8+BO9</f>
        <v/>
      </c>
      <c r="BP10" s="12">
        <f>BP7+BP8+BP9</f>
        <v/>
      </c>
      <c r="BQ10" s="12">
        <f>BQ7+BQ8+BQ9</f>
        <v/>
      </c>
      <c r="BR10" s="12">
        <f>BR7+BR8+BR9</f>
        <v/>
      </c>
      <c r="BS10" s="12">
        <f>BS7+BS8+BS9</f>
        <v/>
      </c>
      <c r="BT10" s="12">
        <f>BT7+BT8+BT9</f>
        <v/>
      </c>
      <c r="BU10" s="12">
        <f>BU7+BU8+BU9</f>
        <v/>
      </c>
      <c r="BV10" s="12">
        <f>BV7+BV8+BV9</f>
        <v/>
      </c>
      <c r="BW10" s="12">
        <f>BW7+BW8+BW9</f>
        <v/>
      </c>
      <c r="BX10" s="12">
        <f>BX7+BX8+BX9</f>
        <v/>
      </c>
      <c r="BY10" s="12">
        <f>BY7+BY8+BY9</f>
        <v/>
      </c>
      <c r="BZ10" s="12">
        <f>BZ7+BZ8+BZ9</f>
        <v/>
      </c>
      <c r="CA10" s="12">
        <f>CA7+CA8+CA9</f>
        <v/>
      </c>
      <c r="CB10" s="12">
        <f>CB7+CB8+CB9</f>
        <v/>
      </c>
      <c r="CC10" s="12">
        <f>CC7+CC8+CC9</f>
        <v/>
      </c>
      <c r="CD10" s="12">
        <f>CD7+CD8+CD9</f>
        <v/>
      </c>
      <c r="CE10" s="12">
        <f>CE7+CE8+CE9</f>
        <v/>
      </c>
      <c r="CF10" s="12">
        <f>CF7+CF8+CF9</f>
        <v/>
      </c>
      <c r="CG10" s="12">
        <f>CG7+CG8+CG9</f>
        <v/>
      </c>
      <c r="CH10" s="12">
        <f>CH7+CH8+CH9</f>
        <v/>
      </c>
    </row>
  </sheetData>
  <autoFilter ref="A2:CH2"/>
  <pageMargins left="0.4" right="0.4" top="0.6" bottom="0.5" header="0.25" footer="0.25"/>
  <pageSetup orientation="landscape" paperSize="3" scale="55" fitToHeight="0" fitToWidth="1"/>
  <headerFooter>
    <oddHeader>&amp;LElite Luxury Mixed-Use  |  Illustrative template&amp;CSpendCurve</oddHeader>
    <oddFooter>&amp;LNot a live deal  |  Not an offering  |  Not investment advice&amp;RPage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H16"/>
  <sheetViews>
    <sheetView view="pageBreakPreview" zoomScale="8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</cols>
  <sheetData>
    <row r="1" ht="22" customHeight="1">
      <c r="A1" s="1" t="inlineStr">
        <is>
          <t>CondoSellout</t>
        </is>
      </c>
    </row>
    <row r="2">
      <c r="A2" s="3" t="inlineStr">
        <is>
          <t>Month</t>
        </is>
      </c>
      <c r="B2" t="inlineStr">
        <is>
          <t>index</t>
        </is>
      </c>
      <c r="C2" s="15">
        <f>COLUMN()-2</f>
        <v/>
      </c>
      <c r="D2" s="15">
        <f>COLUMN()-2</f>
        <v/>
      </c>
      <c r="E2" s="15">
        <f>COLUMN()-2</f>
        <v/>
      </c>
      <c r="F2" s="15">
        <f>COLUMN()-2</f>
        <v/>
      </c>
      <c r="G2" s="15">
        <f>COLUMN()-2</f>
        <v/>
      </c>
      <c r="H2" s="15">
        <f>COLUMN()-2</f>
        <v/>
      </c>
      <c r="I2" s="15">
        <f>COLUMN()-2</f>
        <v/>
      </c>
      <c r="J2" s="15">
        <f>COLUMN()-2</f>
        <v/>
      </c>
      <c r="K2" s="15">
        <f>COLUMN()-2</f>
        <v/>
      </c>
      <c r="L2" s="15">
        <f>COLUMN()-2</f>
        <v/>
      </c>
      <c r="M2" s="15">
        <f>COLUMN()-2</f>
        <v/>
      </c>
      <c r="N2" s="15">
        <f>COLUMN()-2</f>
        <v/>
      </c>
      <c r="O2" s="15">
        <f>COLUMN()-2</f>
        <v/>
      </c>
      <c r="P2" s="15">
        <f>COLUMN()-2</f>
        <v/>
      </c>
      <c r="Q2" s="15">
        <f>COLUMN()-2</f>
        <v/>
      </c>
      <c r="R2" s="15">
        <f>COLUMN()-2</f>
        <v/>
      </c>
      <c r="S2" s="15">
        <f>COLUMN()-2</f>
        <v/>
      </c>
      <c r="T2" s="15">
        <f>COLUMN()-2</f>
        <v/>
      </c>
      <c r="U2" s="15">
        <f>COLUMN()-2</f>
        <v/>
      </c>
      <c r="V2" s="15">
        <f>COLUMN()-2</f>
        <v/>
      </c>
      <c r="W2" s="15">
        <f>COLUMN()-2</f>
        <v/>
      </c>
      <c r="X2" s="15">
        <f>COLUMN()-2</f>
        <v/>
      </c>
      <c r="Y2" s="15">
        <f>COLUMN()-2</f>
        <v/>
      </c>
      <c r="Z2" s="15">
        <f>COLUMN()-2</f>
        <v/>
      </c>
      <c r="AA2" s="15">
        <f>COLUMN()-2</f>
        <v/>
      </c>
      <c r="AB2" s="15">
        <f>COLUMN()-2</f>
        <v/>
      </c>
      <c r="AC2" s="15">
        <f>COLUMN()-2</f>
        <v/>
      </c>
      <c r="AD2" s="15">
        <f>COLUMN()-2</f>
        <v/>
      </c>
      <c r="AE2" s="15">
        <f>COLUMN()-2</f>
        <v/>
      </c>
      <c r="AF2" s="15">
        <f>COLUMN()-2</f>
        <v/>
      </c>
      <c r="AG2" s="15">
        <f>COLUMN()-2</f>
        <v/>
      </c>
      <c r="AH2" s="15">
        <f>COLUMN()-2</f>
        <v/>
      </c>
      <c r="AI2" s="15">
        <f>COLUMN()-2</f>
        <v/>
      </c>
      <c r="AJ2" s="15">
        <f>COLUMN()-2</f>
        <v/>
      </c>
      <c r="AK2" s="15">
        <f>COLUMN()-2</f>
        <v/>
      </c>
      <c r="AL2" s="15">
        <f>COLUMN()-2</f>
        <v/>
      </c>
      <c r="AM2" s="15">
        <f>COLUMN()-2</f>
        <v/>
      </c>
      <c r="AN2" s="15">
        <f>COLUMN()-2</f>
        <v/>
      </c>
      <c r="AO2" s="15">
        <f>COLUMN()-2</f>
        <v/>
      </c>
      <c r="AP2" s="15">
        <f>COLUMN()-2</f>
        <v/>
      </c>
      <c r="AQ2" s="15">
        <f>COLUMN()-2</f>
        <v/>
      </c>
      <c r="AR2" s="15">
        <f>COLUMN()-2</f>
        <v/>
      </c>
      <c r="AS2" s="15">
        <f>COLUMN()-2</f>
        <v/>
      </c>
      <c r="AT2" s="15">
        <f>COLUMN()-2</f>
        <v/>
      </c>
      <c r="AU2" s="15">
        <f>COLUMN()-2</f>
        <v/>
      </c>
      <c r="AV2" s="15">
        <f>COLUMN()-2</f>
        <v/>
      </c>
      <c r="AW2" s="15">
        <f>COLUMN()-2</f>
        <v/>
      </c>
      <c r="AX2" s="15">
        <f>COLUMN()-2</f>
        <v/>
      </c>
      <c r="AY2" s="15">
        <f>COLUMN()-2</f>
        <v/>
      </c>
      <c r="AZ2" s="15">
        <f>COLUMN()-2</f>
        <v/>
      </c>
      <c r="BA2" s="15">
        <f>COLUMN()-2</f>
        <v/>
      </c>
      <c r="BB2" s="15">
        <f>COLUMN()-2</f>
        <v/>
      </c>
      <c r="BC2" s="15">
        <f>COLUMN()-2</f>
        <v/>
      </c>
      <c r="BD2" s="15">
        <f>COLUMN()-2</f>
        <v/>
      </c>
      <c r="BE2" s="15">
        <f>COLUMN()-2</f>
        <v/>
      </c>
      <c r="BF2" s="15">
        <f>COLUMN()-2</f>
        <v/>
      </c>
      <c r="BG2" s="15">
        <f>COLUMN()-2</f>
        <v/>
      </c>
      <c r="BH2" s="15">
        <f>COLUMN()-2</f>
        <v/>
      </c>
      <c r="BI2" s="15">
        <f>COLUMN()-2</f>
        <v/>
      </c>
      <c r="BJ2" s="15">
        <f>COLUMN()-2</f>
        <v/>
      </c>
      <c r="BK2" s="15">
        <f>COLUMN()-2</f>
        <v/>
      </c>
      <c r="BL2" s="15">
        <f>COLUMN()-2</f>
        <v/>
      </c>
      <c r="BM2" s="15">
        <f>COLUMN()-2</f>
        <v/>
      </c>
      <c r="BN2" s="15">
        <f>COLUMN()-2</f>
        <v/>
      </c>
      <c r="BO2" s="15">
        <f>COLUMN()-2</f>
        <v/>
      </c>
      <c r="BP2" s="15">
        <f>COLUMN()-2</f>
        <v/>
      </c>
      <c r="BQ2" s="15">
        <f>COLUMN()-2</f>
        <v/>
      </c>
      <c r="BR2" s="15">
        <f>COLUMN()-2</f>
        <v/>
      </c>
      <c r="BS2" s="15">
        <f>COLUMN()-2</f>
        <v/>
      </c>
      <c r="BT2" s="15">
        <f>COLUMN()-2</f>
        <v/>
      </c>
      <c r="BU2" s="15">
        <f>COLUMN()-2</f>
        <v/>
      </c>
      <c r="BV2" s="15">
        <f>COLUMN()-2</f>
        <v/>
      </c>
      <c r="BW2" s="15">
        <f>COLUMN()-2</f>
        <v/>
      </c>
      <c r="BX2" s="15">
        <f>COLUMN()-2</f>
        <v/>
      </c>
      <c r="BY2" s="15">
        <f>COLUMN()-2</f>
        <v/>
      </c>
      <c r="BZ2" s="15">
        <f>COLUMN()-2</f>
        <v/>
      </c>
      <c r="CA2" s="15">
        <f>COLUMN()-2</f>
        <v/>
      </c>
      <c r="CB2" s="15">
        <f>COLUMN()-2</f>
        <v/>
      </c>
      <c r="CC2" s="15">
        <f>COLUMN()-2</f>
        <v/>
      </c>
      <c r="CD2" s="15">
        <f>COLUMN()-2</f>
        <v/>
      </c>
      <c r="CE2" s="15">
        <f>COLUMN()-2</f>
        <v/>
      </c>
      <c r="CF2" s="15">
        <f>COLUMN()-2</f>
        <v/>
      </c>
      <c r="CG2" s="15">
        <f>COLUMN()-2</f>
        <v/>
      </c>
      <c r="CH2" s="15">
        <f>COLUMN()-2</f>
        <v/>
      </c>
    </row>
    <row r="3">
      <c r="A3" s="3" t="inlineStr">
        <is>
          <t>Date</t>
        </is>
      </c>
      <c r="B3" t="inlineStr">
        <is>
          <t>month-end</t>
        </is>
      </c>
      <c r="C3" s="11">
        <f>EOMONTH(DATE(2026,1,1),C2-1)</f>
        <v/>
      </c>
      <c r="D3" s="11">
        <f>EOMONTH(DATE(2026,1,1),D2-1)</f>
        <v/>
      </c>
      <c r="E3" s="11">
        <f>EOMONTH(DATE(2026,1,1),E2-1)</f>
        <v/>
      </c>
      <c r="F3" s="11">
        <f>EOMONTH(DATE(2026,1,1),F2-1)</f>
        <v/>
      </c>
      <c r="G3" s="11">
        <f>EOMONTH(DATE(2026,1,1),G2-1)</f>
        <v/>
      </c>
      <c r="H3" s="11">
        <f>EOMONTH(DATE(2026,1,1),H2-1)</f>
        <v/>
      </c>
      <c r="I3" s="11">
        <f>EOMONTH(DATE(2026,1,1),I2-1)</f>
        <v/>
      </c>
      <c r="J3" s="11">
        <f>EOMONTH(DATE(2026,1,1),J2-1)</f>
        <v/>
      </c>
      <c r="K3" s="11">
        <f>EOMONTH(DATE(2026,1,1),K2-1)</f>
        <v/>
      </c>
      <c r="L3" s="11">
        <f>EOMONTH(DATE(2026,1,1),L2-1)</f>
        <v/>
      </c>
      <c r="M3" s="11">
        <f>EOMONTH(DATE(2026,1,1),M2-1)</f>
        <v/>
      </c>
      <c r="N3" s="11">
        <f>EOMONTH(DATE(2026,1,1),N2-1)</f>
        <v/>
      </c>
      <c r="O3" s="11">
        <f>EOMONTH(DATE(2026,1,1),O2-1)</f>
        <v/>
      </c>
      <c r="P3" s="11">
        <f>EOMONTH(DATE(2026,1,1),P2-1)</f>
        <v/>
      </c>
      <c r="Q3" s="11">
        <f>EOMONTH(DATE(2026,1,1),Q2-1)</f>
        <v/>
      </c>
      <c r="R3" s="11">
        <f>EOMONTH(DATE(2026,1,1),R2-1)</f>
        <v/>
      </c>
      <c r="S3" s="11">
        <f>EOMONTH(DATE(2026,1,1),S2-1)</f>
        <v/>
      </c>
      <c r="T3" s="11">
        <f>EOMONTH(DATE(2026,1,1),T2-1)</f>
        <v/>
      </c>
      <c r="U3" s="11">
        <f>EOMONTH(DATE(2026,1,1),U2-1)</f>
        <v/>
      </c>
      <c r="V3" s="11">
        <f>EOMONTH(DATE(2026,1,1),V2-1)</f>
        <v/>
      </c>
      <c r="W3" s="11">
        <f>EOMONTH(DATE(2026,1,1),W2-1)</f>
        <v/>
      </c>
      <c r="X3" s="11">
        <f>EOMONTH(DATE(2026,1,1),X2-1)</f>
        <v/>
      </c>
      <c r="Y3" s="11">
        <f>EOMONTH(DATE(2026,1,1),Y2-1)</f>
        <v/>
      </c>
      <c r="Z3" s="11">
        <f>EOMONTH(DATE(2026,1,1),Z2-1)</f>
        <v/>
      </c>
      <c r="AA3" s="11">
        <f>EOMONTH(DATE(2026,1,1),AA2-1)</f>
        <v/>
      </c>
      <c r="AB3" s="11">
        <f>EOMONTH(DATE(2026,1,1),AB2-1)</f>
        <v/>
      </c>
      <c r="AC3" s="11">
        <f>EOMONTH(DATE(2026,1,1),AC2-1)</f>
        <v/>
      </c>
      <c r="AD3" s="11">
        <f>EOMONTH(DATE(2026,1,1),AD2-1)</f>
        <v/>
      </c>
      <c r="AE3" s="11">
        <f>EOMONTH(DATE(2026,1,1),AE2-1)</f>
        <v/>
      </c>
      <c r="AF3" s="11">
        <f>EOMONTH(DATE(2026,1,1),AF2-1)</f>
        <v/>
      </c>
      <c r="AG3" s="11">
        <f>EOMONTH(DATE(2026,1,1),AG2-1)</f>
        <v/>
      </c>
      <c r="AH3" s="11">
        <f>EOMONTH(DATE(2026,1,1),AH2-1)</f>
        <v/>
      </c>
      <c r="AI3" s="11">
        <f>EOMONTH(DATE(2026,1,1),AI2-1)</f>
        <v/>
      </c>
      <c r="AJ3" s="11">
        <f>EOMONTH(DATE(2026,1,1),AJ2-1)</f>
        <v/>
      </c>
      <c r="AK3" s="11">
        <f>EOMONTH(DATE(2026,1,1),AK2-1)</f>
        <v/>
      </c>
      <c r="AL3" s="11">
        <f>EOMONTH(DATE(2026,1,1),AL2-1)</f>
        <v/>
      </c>
      <c r="AM3" s="11">
        <f>EOMONTH(DATE(2026,1,1),AM2-1)</f>
        <v/>
      </c>
      <c r="AN3" s="11">
        <f>EOMONTH(DATE(2026,1,1),AN2-1)</f>
        <v/>
      </c>
      <c r="AO3" s="11">
        <f>EOMONTH(DATE(2026,1,1),AO2-1)</f>
        <v/>
      </c>
      <c r="AP3" s="11">
        <f>EOMONTH(DATE(2026,1,1),AP2-1)</f>
        <v/>
      </c>
      <c r="AQ3" s="11">
        <f>EOMONTH(DATE(2026,1,1),AQ2-1)</f>
        <v/>
      </c>
      <c r="AR3" s="11">
        <f>EOMONTH(DATE(2026,1,1),AR2-1)</f>
        <v/>
      </c>
      <c r="AS3" s="11">
        <f>EOMONTH(DATE(2026,1,1),AS2-1)</f>
        <v/>
      </c>
      <c r="AT3" s="11">
        <f>EOMONTH(DATE(2026,1,1),AT2-1)</f>
        <v/>
      </c>
      <c r="AU3" s="11">
        <f>EOMONTH(DATE(2026,1,1),AU2-1)</f>
        <v/>
      </c>
      <c r="AV3" s="11">
        <f>EOMONTH(DATE(2026,1,1),AV2-1)</f>
        <v/>
      </c>
      <c r="AW3" s="11">
        <f>EOMONTH(DATE(2026,1,1),AW2-1)</f>
        <v/>
      </c>
      <c r="AX3" s="11">
        <f>EOMONTH(DATE(2026,1,1),AX2-1)</f>
        <v/>
      </c>
      <c r="AY3" s="11">
        <f>EOMONTH(DATE(2026,1,1),AY2-1)</f>
        <v/>
      </c>
      <c r="AZ3" s="11">
        <f>EOMONTH(DATE(2026,1,1),AZ2-1)</f>
        <v/>
      </c>
      <c r="BA3" s="11">
        <f>EOMONTH(DATE(2026,1,1),BA2-1)</f>
        <v/>
      </c>
      <c r="BB3" s="11">
        <f>EOMONTH(DATE(2026,1,1),BB2-1)</f>
        <v/>
      </c>
      <c r="BC3" s="11">
        <f>EOMONTH(DATE(2026,1,1),BC2-1)</f>
        <v/>
      </c>
      <c r="BD3" s="11">
        <f>EOMONTH(DATE(2026,1,1),BD2-1)</f>
        <v/>
      </c>
      <c r="BE3" s="11">
        <f>EOMONTH(DATE(2026,1,1),BE2-1)</f>
        <v/>
      </c>
      <c r="BF3" s="11">
        <f>EOMONTH(DATE(2026,1,1),BF2-1)</f>
        <v/>
      </c>
      <c r="BG3" s="11">
        <f>EOMONTH(DATE(2026,1,1),BG2-1)</f>
        <v/>
      </c>
      <c r="BH3" s="11">
        <f>EOMONTH(DATE(2026,1,1),BH2-1)</f>
        <v/>
      </c>
      <c r="BI3" s="11">
        <f>EOMONTH(DATE(2026,1,1),BI2-1)</f>
        <v/>
      </c>
      <c r="BJ3" s="11">
        <f>EOMONTH(DATE(2026,1,1),BJ2-1)</f>
        <v/>
      </c>
      <c r="BK3" s="11">
        <f>EOMONTH(DATE(2026,1,1),BK2-1)</f>
        <v/>
      </c>
      <c r="BL3" s="11">
        <f>EOMONTH(DATE(2026,1,1),BL2-1)</f>
        <v/>
      </c>
      <c r="BM3" s="11">
        <f>EOMONTH(DATE(2026,1,1),BM2-1)</f>
        <v/>
      </c>
      <c r="BN3" s="11">
        <f>EOMONTH(DATE(2026,1,1),BN2-1)</f>
        <v/>
      </c>
      <c r="BO3" s="11">
        <f>EOMONTH(DATE(2026,1,1),BO2-1)</f>
        <v/>
      </c>
      <c r="BP3" s="11">
        <f>EOMONTH(DATE(2026,1,1),BP2-1)</f>
        <v/>
      </c>
      <c r="BQ3" s="11">
        <f>EOMONTH(DATE(2026,1,1),BQ2-1)</f>
        <v/>
      </c>
      <c r="BR3" s="11">
        <f>EOMONTH(DATE(2026,1,1),BR2-1)</f>
        <v/>
      </c>
      <c r="BS3" s="11">
        <f>EOMONTH(DATE(2026,1,1),BS2-1)</f>
        <v/>
      </c>
      <c r="BT3" s="11">
        <f>EOMONTH(DATE(2026,1,1),BT2-1)</f>
        <v/>
      </c>
      <c r="BU3" s="11">
        <f>EOMONTH(DATE(2026,1,1),BU2-1)</f>
        <v/>
      </c>
      <c r="BV3" s="11">
        <f>EOMONTH(DATE(2026,1,1),BV2-1)</f>
        <v/>
      </c>
      <c r="BW3" s="11">
        <f>EOMONTH(DATE(2026,1,1),BW2-1)</f>
        <v/>
      </c>
      <c r="BX3" s="11">
        <f>EOMONTH(DATE(2026,1,1),BX2-1)</f>
        <v/>
      </c>
      <c r="BY3" s="11">
        <f>EOMONTH(DATE(2026,1,1),BY2-1)</f>
        <v/>
      </c>
      <c r="BZ3" s="11">
        <f>EOMONTH(DATE(2026,1,1),BZ2-1)</f>
        <v/>
      </c>
      <c r="CA3" s="11">
        <f>EOMONTH(DATE(2026,1,1),CA2-1)</f>
        <v/>
      </c>
      <c r="CB3" s="11">
        <f>EOMONTH(DATE(2026,1,1),CB2-1)</f>
        <v/>
      </c>
      <c r="CC3" s="11">
        <f>EOMONTH(DATE(2026,1,1),CC2-1)</f>
        <v/>
      </c>
      <c r="CD3" s="11">
        <f>EOMONTH(DATE(2026,1,1),CD2-1)</f>
        <v/>
      </c>
      <c r="CE3" s="11">
        <f>EOMONTH(DATE(2026,1,1),CE2-1)</f>
        <v/>
      </c>
      <c r="CF3" s="11">
        <f>EOMONTH(DATE(2026,1,1),CF2-1)</f>
        <v/>
      </c>
      <c r="CG3" s="11">
        <f>EOMONTH(DATE(2026,1,1),CG2-1)</f>
        <v/>
      </c>
      <c r="CH3" s="11">
        <f>EOMONTH(DATE(2026,1,1),CH2-1)</f>
        <v/>
      </c>
    </row>
    <row r="4">
      <c r="A4" s="3" t="inlineStr">
        <is>
          <t>Studio closings</t>
        </is>
      </c>
      <c r="B4" s="4" t="inlineStr">
        <is>
          <t>units</t>
        </is>
      </c>
      <c r="C4" s="10">
        <f>IF(AND(C2&gt;=FIRST_CLOSING_M,C2&lt;FIRST_CLOSING_M+CLOSINGS_SPAN_M),ROUNDDOWN(UNITS_STUDIO/CLOSINGS_SPAN_M,0)+IF(C2-FIRST_CLOSING_M+1&lt;=UNITS_STUDIO-ROUNDDOWN(UNITS_STUDIO/CLOSINGS_SPAN_M,0)*CLOSINGS_SPAN_M,1,0),0)</f>
        <v/>
      </c>
      <c r="D4" s="10">
        <f>IF(AND(D2&gt;=FIRST_CLOSING_M,D2&lt;FIRST_CLOSING_M+CLOSINGS_SPAN_M),ROUNDDOWN(UNITS_STUDIO/CLOSINGS_SPAN_M,0)+IF(D2-FIRST_CLOSING_M+1&lt;=UNITS_STUDIO-ROUNDDOWN(UNITS_STUDIO/CLOSINGS_SPAN_M,0)*CLOSINGS_SPAN_M,1,0),0)</f>
        <v/>
      </c>
      <c r="E4" s="10">
        <f>IF(AND(E2&gt;=FIRST_CLOSING_M,E2&lt;FIRST_CLOSING_M+CLOSINGS_SPAN_M),ROUNDDOWN(UNITS_STUDIO/CLOSINGS_SPAN_M,0)+IF(E2-FIRST_CLOSING_M+1&lt;=UNITS_STUDIO-ROUNDDOWN(UNITS_STUDIO/CLOSINGS_SPAN_M,0)*CLOSINGS_SPAN_M,1,0),0)</f>
        <v/>
      </c>
      <c r="F4" s="10">
        <f>IF(AND(F2&gt;=FIRST_CLOSING_M,F2&lt;FIRST_CLOSING_M+CLOSINGS_SPAN_M),ROUNDDOWN(UNITS_STUDIO/CLOSINGS_SPAN_M,0)+IF(F2-FIRST_CLOSING_M+1&lt;=UNITS_STUDIO-ROUNDDOWN(UNITS_STUDIO/CLOSINGS_SPAN_M,0)*CLOSINGS_SPAN_M,1,0),0)</f>
        <v/>
      </c>
      <c r="G4" s="10">
        <f>IF(AND(G2&gt;=FIRST_CLOSING_M,G2&lt;FIRST_CLOSING_M+CLOSINGS_SPAN_M),ROUNDDOWN(UNITS_STUDIO/CLOSINGS_SPAN_M,0)+IF(G2-FIRST_CLOSING_M+1&lt;=UNITS_STUDIO-ROUNDDOWN(UNITS_STUDIO/CLOSINGS_SPAN_M,0)*CLOSINGS_SPAN_M,1,0),0)</f>
        <v/>
      </c>
      <c r="H4" s="10">
        <f>IF(AND(H2&gt;=FIRST_CLOSING_M,H2&lt;FIRST_CLOSING_M+CLOSINGS_SPAN_M),ROUNDDOWN(UNITS_STUDIO/CLOSINGS_SPAN_M,0)+IF(H2-FIRST_CLOSING_M+1&lt;=UNITS_STUDIO-ROUNDDOWN(UNITS_STUDIO/CLOSINGS_SPAN_M,0)*CLOSINGS_SPAN_M,1,0),0)</f>
        <v/>
      </c>
      <c r="I4" s="10">
        <f>IF(AND(I2&gt;=FIRST_CLOSING_M,I2&lt;FIRST_CLOSING_M+CLOSINGS_SPAN_M),ROUNDDOWN(UNITS_STUDIO/CLOSINGS_SPAN_M,0)+IF(I2-FIRST_CLOSING_M+1&lt;=UNITS_STUDIO-ROUNDDOWN(UNITS_STUDIO/CLOSINGS_SPAN_M,0)*CLOSINGS_SPAN_M,1,0),0)</f>
        <v/>
      </c>
      <c r="J4" s="10">
        <f>IF(AND(J2&gt;=FIRST_CLOSING_M,J2&lt;FIRST_CLOSING_M+CLOSINGS_SPAN_M),ROUNDDOWN(UNITS_STUDIO/CLOSINGS_SPAN_M,0)+IF(J2-FIRST_CLOSING_M+1&lt;=UNITS_STUDIO-ROUNDDOWN(UNITS_STUDIO/CLOSINGS_SPAN_M,0)*CLOSINGS_SPAN_M,1,0),0)</f>
        <v/>
      </c>
      <c r="K4" s="10">
        <f>IF(AND(K2&gt;=FIRST_CLOSING_M,K2&lt;FIRST_CLOSING_M+CLOSINGS_SPAN_M),ROUNDDOWN(UNITS_STUDIO/CLOSINGS_SPAN_M,0)+IF(K2-FIRST_CLOSING_M+1&lt;=UNITS_STUDIO-ROUNDDOWN(UNITS_STUDIO/CLOSINGS_SPAN_M,0)*CLOSINGS_SPAN_M,1,0),0)</f>
        <v/>
      </c>
      <c r="L4" s="10">
        <f>IF(AND(L2&gt;=FIRST_CLOSING_M,L2&lt;FIRST_CLOSING_M+CLOSINGS_SPAN_M),ROUNDDOWN(UNITS_STUDIO/CLOSINGS_SPAN_M,0)+IF(L2-FIRST_CLOSING_M+1&lt;=UNITS_STUDIO-ROUNDDOWN(UNITS_STUDIO/CLOSINGS_SPAN_M,0)*CLOSINGS_SPAN_M,1,0),0)</f>
        <v/>
      </c>
      <c r="M4" s="10">
        <f>IF(AND(M2&gt;=FIRST_CLOSING_M,M2&lt;FIRST_CLOSING_M+CLOSINGS_SPAN_M),ROUNDDOWN(UNITS_STUDIO/CLOSINGS_SPAN_M,0)+IF(M2-FIRST_CLOSING_M+1&lt;=UNITS_STUDIO-ROUNDDOWN(UNITS_STUDIO/CLOSINGS_SPAN_M,0)*CLOSINGS_SPAN_M,1,0),0)</f>
        <v/>
      </c>
      <c r="N4" s="10">
        <f>IF(AND(N2&gt;=FIRST_CLOSING_M,N2&lt;FIRST_CLOSING_M+CLOSINGS_SPAN_M),ROUNDDOWN(UNITS_STUDIO/CLOSINGS_SPAN_M,0)+IF(N2-FIRST_CLOSING_M+1&lt;=UNITS_STUDIO-ROUNDDOWN(UNITS_STUDIO/CLOSINGS_SPAN_M,0)*CLOSINGS_SPAN_M,1,0),0)</f>
        <v/>
      </c>
      <c r="O4" s="10">
        <f>IF(AND(O2&gt;=FIRST_CLOSING_M,O2&lt;FIRST_CLOSING_M+CLOSINGS_SPAN_M),ROUNDDOWN(UNITS_STUDIO/CLOSINGS_SPAN_M,0)+IF(O2-FIRST_CLOSING_M+1&lt;=UNITS_STUDIO-ROUNDDOWN(UNITS_STUDIO/CLOSINGS_SPAN_M,0)*CLOSINGS_SPAN_M,1,0),0)</f>
        <v/>
      </c>
      <c r="P4" s="10">
        <f>IF(AND(P2&gt;=FIRST_CLOSING_M,P2&lt;FIRST_CLOSING_M+CLOSINGS_SPAN_M),ROUNDDOWN(UNITS_STUDIO/CLOSINGS_SPAN_M,0)+IF(P2-FIRST_CLOSING_M+1&lt;=UNITS_STUDIO-ROUNDDOWN(UNITS_STUDIO/CLOSINGS_SPAN_M,0)*CLOSINGS_SPAN_M,1,0),0)</f>
        <v/>
      </c>
      <c r="Q4" s="10">
        <f>IF(AND(Q2&gt;=FIRST_CLOSING_M,Q2&lt;FIRST_CLOSING_M+CLOSINGS_SPAN_M),ROUNDDOWN(UNITS_STUDIO/CLOSINGS_SPAN_M,0)+IF(Q2-FIRST_CLOSING_M+1&lt;=UNITS_STUDIO-ROUNDDOWN(UNITS_STUDIO/CLOSINGS_SPAN_M,0)*CLOSINGS_SPAN_M,1,0),0)</f>
        <v/>
      </c>
      <c r="R4" s="10">
        <f>IF(AND(R2&gt;=FIRST_CLOSING_M,R2&lt;FIRST_CLOSING_M+CLOSINGS_SPAN_M),ROUNDDOWN(UNITS_STUDIO/CLOSINGS_SPAN_M,0)+IF(R2-FIRST_CLOSING_M+1&lt;=UNITS_STUDIO-ROUNDDOWN(UNITS_STUDIO/CLOSINGS_SPAN_M,0)*CLOSINGS_SPAN_M,1,0),0)</f>
        <v/>
      </c>
      <c r="S4" s="10">
        <f>IF(AND(S2&gt;=FIRST_CLOSING_M,S2&lt;FIRST_CLOSING_M+CLOSINGS_SPAN_M),ROUNDDOWN(UNITS_STUDIO/CLOSINGS_SPAN_M,0)+IF(S2-FIRST_CLOSING_M+1&lt;=UNITS_STUDIO-ROUNDDOWN(UNITS_STUDIO/CLOSINGS_SPAN_M,0)*CLOSINGS_SPAN_M,1,0),0)</f>
        <v/>
      </c>
      <c r="T4" s="10">
        <f>IF(AND(T2&gt;=FIRST_CLOSING_M,T2&lt;FIRST_CLOSING_M+CLOSINGS_SPAN_M),ROUNDDOWN(UNITS_STUDIO/CLOSINGS_SPAN_M,0)+IF(T2-FIRST_CLOSING_M+1&lt;=UNITS_STUDIO-ROUNDDOWN(UNITS_STUDIO/CLOSINGS_SPAN_M,0)*CLOSINGS_SPAN_M,1,0),0)</f>
        <v/>
      </c>
      <c r="U4" s="10">
        <f>IF(AND(U2&gt;=FIRST_CLOSING_M,U2&lt;FIRST_CLOSING_M+CLOSINGS_SPAN_M),ROUNDDOWN(UNITS_STUDIO/CLOSINGS_SPAN_M,0)+IF(U2-FIRST_CLOSING_M+1&lt;=UNITS_STUDIO-ROUNDDOWN(UNITS_STUDIO/CLOSINGS_SPAN_M,0)*CLOSINGS_SPAN_M,1,0),0)</f>
        <v/>
      </c>
      <c r="V4" s="10">
        <f>IF(AND(V2&gt;=FIRST_CLOSING_M,V2&lt;FIRST_CLOSING_M+CLOSINGS_SPAN_M),ROUNDDOWN(UNITS_STUDIO/CLOSINGS_SPAN_M,0)+IF(V2-FIRST_CLOSING_M+1&lt;=UNITS_STUDIO-ROUNDDOWN(UNITS_STUDIO/CLOSINGS_SPAN_M,0)*CLOSINGS_SPAN_M,1,0),0)</f>
        <v/>
      </c>
      <c r="W4" s="10">
        <f>IF(AND(W2&gt;=FIRST_CLOSING_M,W2&lt;FIRST_CLOSING_M+CLOSINGS_SPAN_M),ROUNDDOWN(UNITS_STUDIO/CLOSINGS_SPAN_M,0)+IF(W2-FIRST_CLOSING_M+1&lt;=UNITS_STUDIO-ROUNDDOWN(UNITS_STUDIO/CLOSINGS_SPAN_M,0)*CLOSINGS_SPAN_M,1,0),0)</f>
        <v/>
      </c>
      <c r="X4" s="10">
        <f>IF(AND(X2&gt;=FIRST_CLOSING_M,X2&lt;FIRST_CLOSING_M+CLOSINGS_SPAN_M),ROUNDDOWN(UNITS_STUDIO/CLOSINGS_SPAN_M,0)+IF(X2-FIRST_CLOSING_M+1&lt;=UNITS_STUDIO-ROUNDDOWN(UNITS_STUDIO/CLOSINGS_SPAN_M,0)*CLOSINGS_SPAN_M,1,0),0)</f>
        <v/>
      </c>
      <c r="Y4" s="10">
        <f>IF(AND(Y2&gt;=FIRST_CLOSING_M,Y2&lt;FIRST_CLOSING_M+CLOSINGS_SPAN_M),ROUNDDOWN(UNITS_STUDIO/CLOSINGS_SPAN_M,0)+IF(Y2-FIRST_CLOSING_M+1&lt;=UNITS_STUDIO-ROUNDDOWN(UNITS_STUDIO/CLOSINGS_SPAN_M,0)*CLOSINGS_SPAN_M,1,0),0)</f>
        <v/>
      </c>
      <c r="Z4" s="10">
        <f>IF(AND(Z2&gt;=FIRST_CLOSING_M,Z2&lt;FIRST_CLOSING_M+CLOSINGS_SPAN_M),ROUNDDOWN(UNITS_STUDIO/CLOSINGS_SPAN_M,0)+IF(Z2-FIRST_CLOSING_M+1&lt;=UNITS_STUDIO-ROUNDDOWN(UNITS_STUDIO/CLOSINGS_SPAN_M,0)*CLOSINGS_SPAN_M,1,0),0)</f>
        <v/>
      </c>
      <c r="AA4" s="10">
        <f>IF(AND(AA2&gt;=FIRST_CLOSING_M,AA2&lt;FIRST_CLOSING_M+CLOSINGS_SPAN_M),ROUNDDOWN(UNITS_STUDIO/CLOSINGS_SPAN_M,0)+IF(AA2-FIRST_CLOSING_M+1&lt;=UNITS_STUDIO-ROUNDDOWN(UNITS_STUDIO/CLOSINGS_SPAN_M,0)*CLOSINGS_SPAN_M,1,0),0)</f>
        <v/>
      </c>
      <c r="AB4" s="10">
        <f>IF(AND(AB2&gt;=FIRST_CLOSING_M,AB2&lt;FIRST_CLOSING_M+CLOSINGS_SPAN_M),ROUNDDOWN(UNITS_STUDIO/CLOSINGS_SPAN_M,0)+IF(AB2-FIRST_CLOSING_M+1&lt;=UNITS_STUDIO-ROUNDDOWN(UNITS_STUDIO/CLOSINGS_SPAN_M,0)*CLOSINGS_SPAN_M,1,0),0)</f>
        <v/>
      </c>
      <c r="AC4" s="10">
        <f>IF(AND(AC2&gt;=FIRST_CLOSING_M,AC2&lt;FIRST_CLOSING_M+CLOSINGS_SPAN_M),ROUNDDOWN(UNITS_STUDIO/CLOSINGS_SPAN_M,0)+IF(AC2-FIRST_CLOSING_M+1&lt;=UNITS_STUDIO-ROUNDDOWN(UNITS_STUDIO/CLOSINGS_SPAN_M,0)*CLOSINGS_SPAN_M,1,0),0)</f>
        <v/>
      </c>
      <c r="AD4" s="10">
        <f>IF(AND(AD2&gt;=FIRST_CLOSING_M,AD2&lt;FIRST_CLOSING_M+CLOSINGS_SPAN_M),ROUNDDOWN(UNITS_STUDIO/CLOSINGS_SPAN_M,0)+IF(AD2-FIRST_CLOSING_M+1&lt;=UNITS_STUDIO-ROUNDDOWN(UNITS_STUDIO/CLOSINGS_SPAN_M,0)*CLOSINGS_SPAN_M,1,0),0)</f>
        <v/>
      </c>
      <c r="AE4" s="10">
        <f>IF(AND(AE2&gt;=FIRST_CLOSING_M,AE2&lt;FIRST_CLOSING_M+CLOSINGS_SPAN_M),ROUNDDOWN(UNITS_STUDIO/CLOSINGS_SPAN_M,0)+IF(AE2-FIRST_CLOSING_M+1&lt;=UNITS_STUDIO-ROUNDDOWN(UNITS_STUDIO/CLOSINGS_SPAN_M,0)*CLOSINGS_SPAN_M,1,0),0)</f>
        <v/>
      </c>
      <c r="AF4" s="10">
        <f>IF(AND(AF2&gt;=FIRST_CLOSING_M,AF2&lt;FIRST_CLOSING_M+CLOSINGS_SPAN_M),ROUNDDOWN(UNITS_STUDIO/CLOSINGS_SPAN_M,0)+IF(AF2-FIRST_CLOSING_M+1&lt;=UNITS_STUDIO-ROUNDDOWN(UNITS_STUDIO/CLOSINGS_SPAN_M,0)*CLOSINGS_SPAN_M,1,0),0)</f>
        <v/>
      </c>
      <c r="AG4" s="10">
        <f>IF(AND(AG2&gt;=FIRST_CLOSING_M,AG2&lt;FIRST_CLOSING_M+CLOSINGS_SPAN_M),ROUNDDOWN(UNITS_STUDIO/CLOSINGS_SPAN_M,0)+IF(AG2-FIRST_CLOSING_M+1&lt;=UNITS_STUDIO-ROUNDDOWN(UNITS_STUDIO/CLOSINGS_SPAN_M,0)*CLOSINGS_SPAN_M,1,0),0)</f>
        <v/>
      </c>
      <c r="AH4" s="10">
        <f>IF(AND(AH2&gt;=FIRST_CLOSING_M,AH2&lt;FIRST_CLOSING_M+CLOSINGS_SPAN_M),ROUNDDOWN(UNITS_STUDIO/CLOSINGS_SPAN_M,0)+IF(AH2-FIRST_CLOSING_M+1&lt;=UNITS_STUDIO-ROUNDDOWN(UNITS_STUDIO/CLOSINGS_SPAN_M,0)*CLOSINGS_SPAN_M,1,0),0)</f>
        <v/>
      </c>
      <c r="AI4" s="10">
        <f>IF(AND(AI2&gt;=FIRST_CLOSING_M,AI2&lt;FIRST_CLOSING_M+CLOSINGS_SPAN_M),ROUNDDOWN(UNITS_STUDIO/CLOSINGS_SPAN_M,0)+IF(AI2-FIRST_CLOSING_M+1&lt;=UNITS_STUDIO-ROUNDDOWN(UNITS_STUDIO/CLOSINGS_SPAN_M,0)*CLOSINGS_SPAN_M,1,0),0)</f>
        <v/>
      </c>
      <c r="AJ4" s="10">
        <f>IF(AND(AJ2&gt;=FIRST_CLOSING_M,AJ2&lt;FIRST_CLOSING_M+CLOSINGS_SPAN_M),ROUNDDOWN(UNITS_STUDIO/CLOSINGS_SPAN_M,0)+IF(AJ2-FIRST_CLOSING_M+1&lt;=UNITS_STUDIO-ROUNDDOWN(UNITS_STUDIO/CLOSINGS_SPAN_M,0)*CLOSINGS_SPAN_M,1,0),0)</f>
        <v/>
      </c>
      <c r="AK4" s="10">
        <f>IF(AND(AK2&gt;=FIRST_CLOSING_M,AK2&lt;FIRST_CLOSING_M+CLOSINGS_SPAN_M),ROUNDDOWN(UNITS_STUDIO/CLOSINGS_SPAN_M,0)+IF(AK2-FIRST_CLOSING_M+1&lt;=UNITS_STUDIO-ROUNDDOWN(UNITS_STUDIO/CLOSINGS_SPAN_M,0)*CLOSINGS_SPAN_M,1,0),0)</f>
        <v/>
      </c>
      <c r="AL4" s="10">
        <f>IF(AND(AL2&gt;=FIRST_CLOSING_M,AL2&lt;FIRST_CLOSING_M+CLOSINGS_SPAN_M),ROUNDDOWN(UNITS_STUDIO/CLOSINGS_SPAN_M,0)+IF(AL2-FIRST_CLOSING_M+1&lt;=UNITS_STUDIO-ROUNDDOWN(UNITS_STUDIO/CLOSINGS_SPAN_M,0)*CLOSINGS_SPAN_M,1,0),0)</f>
        <v/>
      </c>
      <c r="AM4" s="10">
        <f>IF(AND(AM2&gt;=FIRST_CLOSING_M,AM2&lt;FIRST_CLOSING_M+CLOSINGS_SPAN_M),ROUNDDOWN(UNITS_STUDIO/CLOSINGS_SPAN_M,0)+IF(AM2-FIRST_CLOSING_M+1&lt;=UNITS_STUDIO-ROUNDDOWN(UNITS_STUDIO/CLOSINGS_SPAN_M,0)*CLOSINGS_SPAN_M,1,0),0)</f>
        <v/>
      </c>
      <c r="AN4" s="10">
        <f>IF(AND(AN2&gt;=FIRST_CLOSING_M,AN2&lt;FIRST_CLOSING_M+CLOSINGS_SPAN_M),ROUNDDOWN(UNITS_STUDIO/CLOSINGS_SPAN_M,0)+IF(AN2-FIRST_CLOSING_M+1&lt;=UNITS_STUDIO-ROUNDDOWN(UNITS_STUDIO/CLOSINGS_SPAN_M,0)*CLOSINGS_SPAN_M,1,0),0)</f>
        <v/>
      </c>
      <c r="AO4" s="10">
        <f>IF(AND(AO2&gt;=FIRST_CLOSING_M,AO2&lt;FIRST_CLOSING_M+CLOSINGS_SPAN_M),ROUNDDOWN(UNITS_STUDIO/CLOSINGS_SPAN_M,0)+IF(AO2-FIRST_CLOSING_M+1&lt;=UNITS_STUDIO-ROUNDDOWN(UNITS_STUDIO/CLOSINGS_SPAN_M,0)*CLOSINGS_SPAN_M,1,0),0)</f>
        <v/>
      </c>
      <c r="AP4" s="10">
        <f>IF(AND(AP2&gt;=FIRST_CLOSING_M,AP2&lt;FIRST_CLOSING_M+CLOSINGS_SPAN_M),ROUNDDOWN(UNITS_STUDIO/CLOSINGS_SPAN_M,0)+IF(AP2-FIRST_CLOSING_M+1&lt;=UNITS_STUDIO-ROUNDDOWN(UNITS_STUDIO/CLOSINGS_SPAN_M,0)*CLOSINGS_SPAN_M,1,0),0)</f>
        <v/>
      </c>
      <c r="AQ4" s="10">
        <f>IF(AND(AQ2&gt;=FIRST_CLOSING_M,AQ2&lt;FIRST_CLOSING_M+CLOSINGS_SPAN_M),ROUNDDOWN(UNITS_STUDIO/CLOSINGS_SPAN_M,0)+IF(AQ2-FIRST_CLOSING_M+1&lt;=UNITS_STUDIO-ROUNDDOWN(UNITS_STUDIO/CLOSINGS_SPAN_M,0)*CLOSINGS_SPAN_M,1,0),0)</f>
        <v/>
      </c>
      <c r="AR4" s="10">
        <f>IF(AND(AR2&gt;=FIRST_CLOSING_M,AR2&lt;FIRST_CLOSING_M+CLOSINGS_SPAN_M),ROUNDDOWN(UNITS_STUDIO/CLOSINGS_SPAN_M,0)+IF(AR2-FIRST_CLOSING_M+1&lt;=UNITS_STUDIO-ROUNDDOWN(UNITS_STUDIO/CLOSINGS_SPAN_M,0)*CLOSINGS_SPAN_M,1,0),0)</f>
        <v/>
      </c>
      <c r="AS4" s="10">
        <f>IF(AND(AS2&gt;=FIRST_CLOSING_M,AS2&lt;FIRST_CLOSING_M+CLOSINGS_SPAN_M),ROUNDDOWN(UNITS_STUDIO/CLOSINGS_SPAN_M,0)+IF(AS2-FIRST_CLOSING_M+1&lt;=UNITS_STUDIO-ROUNDDOWN(UNITS_STUDIO/CLOSINGS_SPAN_M,0)*CLOSINGS_SPAN_M,1,0),0)</f>
        <v/>
      </c>
      <c r="AT4" s="10">
        <f>IF(AND(AT2&gt;=FIRST_CLOSING_M,AT2&lt;FIRST_CLOSING_M+CLOSINGS_SPAN_M),ROUNDDOWN(UNITS_STUDIO/CLOSINGS_SPAN_M,0)+IF(AT2-FIRST_CLOSING_M+1&lt;=UNITS_STUDIO-ROUNDDOWN(UNITS_STUDIO/CLOSINGS_SPAN_M,0)*CLOSINGS_SPAN_M,1,0),0)</f>
        <v/>
      </c>
      <c r="AU4" s="10">
        <f>IF(AND(AU2&gt;=FIRST_CLOSING_M,AU2&lt;FIRST_CLOSING_M+CLOSINGS_SPAN_M),ROUNDDOWN(UNITS_STUDIO/CLOSINGS_SPAN_M,0)+IF(AU2-FIRST_CLOSING_M+1&lt;=UNITS_STUDIO-ROUNDDOWN(UNITS_STUDIO/CLOSINGS_SPAN_M,0)*CLOSINGS_SPAN_M,1,0),0)</f>
        <v/>
      </c>
      <c r="AV4" s="10">
        <f>IF(AND(AV2&gt;=FIRST_CLOSING_M,AV2&lt;FIRST_CLOSING_M+CLOSINGS_SPAN_M),ROUNDDOWN(UNITS_STUDIO/CLOSINGS_SPAN_M,0)+IF(AV2-FIRST_CLOSING_M+1&lt;=UNITS_STUDIO-ROUNDDOWN(UNITS_STUDIO/CLOSINGS_SPAN_M,0)*CLOSINGS_SPAN_M,1,0),0)</f>
        <v/>
      </c>
      <c r="AW4" s="10">
        <f>IF(AND(AW2&gt;=FIRST_CLOSING_M,AW2&lt;FIRST_CLOSING_M+CLOSINGS_SPAN_M),ROUNDDOWN(UNITS_STUDIO/CLOSINGS_SPAN_M,0)+IF(AW2-FIRST_CLOSING_M+1&lt;=UNITS_STUDIO-ROUNDDOWN(UNITS_STUDIO/CLOSINGS_SPAN_M,0)*CLOSINGS_SPAN_M,1,0),0)</f>
        <v/>
      </c>
      <c r="AX4" s="10">
        <f>IF(AND(AX2&gt;=FIRST_CLOSING_M,AX2&lt;FIRST_CLOSING_M+CLOSINGS_SPAN_M),ROUNDDOWN(UNITS_STUDIO/CLOSINGS_SPAN_M,0)+IF(AX2-FIRST_CLOSING_M+1&lt;=UNITS_STUDIO-ROUNDDOWN(UNITS_STUDIO/CLOSINGS_SPAN_M,0)*CLOSINGS_SPAN_M,1,0),0)</f>
        <v/>
      </c>
      <c r="AY4" s="10">
        <f>IF(AND(AY2&gt;=FIRST_CLOSING_M,AY2&lt;FIRST_CLOSING_M+CLOSINGS_SPAN_M),ROUNDDOWN(UNITS_STUDIO/CLOSINGS_SPAN_M,0)+IF(AY2-FIRST_CLOSING_M+1&lt;=UNITS_STUDIO-ROUNDDOWN(UNITS_STUDIO/CLOSINGS_SPAN_M,0)*CLOSINGS_SPAN_M,1,0),0)</f>
        <v/>
      </c>
      <c r="AZ4" s="10">
        <f>IF(AND(AZ2&gt;=FIRST_CLOSING_M,AZ2&lt;FIRST_CLOSING_M+CLOSINGS_SPAN_M),ROUNDDOWN(UNITS_STUDIO/CLOSINGS_SPAN_M,0)+IF(AZ2-FIRST_CLOSING_M+1&lt;=UNITS_STUDIO-ROUNDDOWN(UNITS_STUDIO/CLOSINGS_SPAN_M,0)*CLOSINGS_SPAN_M,1,0),0)</f>
        <v/>
      </c>
      <c r="BA4" s="10">
        <f>IF(AND(BA2&gt;=FIRST_CLOSING_M,BA2&lt;FIRST_CLOSING_M+CLOSINGS_SPAN_M),ROUNDDOWN(UNITS_STUDIO/CLOSINGS_SPAN_M,0)+IF(BA2-FIRST_CLOSING_M+1&lt;=UNITS_STUDIO-ROUNDDOWN(UNITS_STUDIO/CLOSINGS_SPAN_M,0)*CLOSINGS_SPAN_M,1,0),0)</f>
        <v/>
      </c>
      <c r="BB4" s="10">
        <f>IF(AND(BB2&gt;=FIRST_CLOSING_M,BB2&lt;FIRST_CLOSING_M+CLOSINGS_SPAN_M),ROUNDDOWN(UNITS_STUDIO/CLOSINGS_SPAN_M,0)+IF(BB2-FIRST_CLOSING_M+1&lt;=UNITS_STUDIO-ROUNDDOWN(UNITS_STUDIO/CLOSINGS_SPAN_M,0)*CLOSINGS_SPAN_M,1,0),0)</f>
        <v/>
      </c>
      <c r="BC4" s="10">
        <f>IF(AND(BC2&gt;=FIRST_CLOSING_M,BC2&lt;FIRST_CLOSING_M+CLOSINGS_SPAN_M),ROUNDDOWN(UNITS_STUDIO/CLOSINGS_SPAN_M,0)+IF(BC2-FIRST_CLOSING_M+1&lt;=UNITS_STUDIO-ROUNDDOWN(UNITS_STUDIO/CLOSINGS_SPAN_M,0)*CLOSINGS_SPAN_M,1,0),0)</f>
        <v/>
      </c>
      <c r="BD4" s="10">
        <f>IF(AND(BD2&gt;=FIRST_CLOSING_M,BD2&lt;FIRST_CLOSING_M+CLOSINGS_SPAN_M),ROUNDDOWN(UNITS_STUDIO/CLOSINGS_SPAN_M,0)+IF(BD2-FIRST_CLOSING_M+1&lt;=UNITS_STUDIO-ROUNDDOWN(UNITS_STUDIO/CLOSINGS_SPAN_M,0)*CLOSINGS_SPAN_M,1,0),0)</f>
        <v/>
      </c>
      <c r="BE4" s="10">
        <f>IF(AND(BE2&gt;=FIRST_CLOSING_M,BE2&lt;FIRST_CLOSING_M+CLOSINGS_SPAN_M),ROUNDDOWN(UNITS_STUDIO/CLOSINGS_SPAN_M,0)+IF(BE2-FIRST_CLOSING_M+1&lt;=UNITS_STUDIO-ROUNDDOWN(UNITS_STUDIO/CLOSINGS_SPAN_M,0)*CLOSINGS_SPAN_M,1,0),0)</f>
        <v/>
      </c>
      <c r="BF4" s="10">
        <f>IF(AND(BF2&gt;=FIRST_CLOSING_M,BF2&lt;FIRST_CLOSING_M+CLOSINGS_SPAN_M),ROUNDDOWN(UNITS_STUDIO/CLOSINGS_SPAN_M,0)+IF(BF2-FIRST_CLOSING_M+1&lt;=UNITS_STUDIO-ROUNDDOWN(UNITS_STUDIO/CLOSINGS_SPAN_M,0)*CLOSINGS_SPAN_M,1,0),0)</f>
        <v/>
      </c>
      <c r="BG4" s="10">
        <f>IF(AND(BG2&gt;=FIRST_CLOSING_M,BG2&lt;FIRST_CLOSING_M+CLOSINGS_SPAN_M),ROUNDDOWN(UNITS_STUDIO/CLOSINGS_SPAN_M,0)+IF(BG2-FIRST_CLOSING_M+1&lt;=UNITS_STUDIO-ROUNDDOWN(UNITS_STUDIO/CLOSINGS_SPAN_M,0)*CLOSINGS_SPAN_M,1,0),0)</f>
        <v/>
      </c>
      <c r="BH4" s="10">
        <f>IF(AND(BH2&gt;=FIRST_CLOSING_M,BH2&lt;FIRST_CLOSING_M+CLOSINGS_SPAN_M),ROUNDDOWN(UNITS_STUDIO/CLOSINGS_SPAN_M,0)+IF(BH2-FIRST_CLOSING_M+1&lt;=UNITS_STUDIO-ROUNDDOWN(UNITS_STUDIO/CLOSINGS_SPAN_M,0)*CLOSINGS_SPAN_M,1,0),0)</f>
        <v/>
      </c>
      <c r="BI4" s="10">
        <f>IF(AND(BI2&gt;=FIRST_CLOSING_M,BI2&lt;FIRST_CLOSING_M+CLOSINGS_SPAN_M),ROUNDDOWN(UNITS_STUDIO/CLOSINGS_SPAN_M,0)+IF(BI2-FIRST_CLOSING_M+1&lt;=UNITS_STUDIO-ROUNDDOWN(UNITS_STUDIO/CLOSINGS_SPAN_M,0)*CLOSINGS_SPAN_M,1,0),0)</f>
        <v/>
      </c>
      <c r="BJ4" s="10">
        <f>IF(AND(BJ2&gt;=FIRST_CLOSING_M,BJ2&lt;FIRST_CLOSING_M+CLOSINGS_SPAN_M),ROUNDDOWN(UNITS_STUDIO/CLOSINGS_SPAN_M,0)+IF(BJ2-FIRST_CLOSING_M+1&lt;=UNITS_STUDIO-ROUNDDOWN(UNITS_STUDIO/CLOSINGS_SPAN_M,0)*CLOSINGS_SPAN_M,1,0),0)</f>
        <v/>
      </c>
      <c r="BK4" s="10">
        <f>IF(AND(BK2&gt;=FIRST_CLOSING_M,BK2&lt;FIRST_CLOSING_M+CLOSINGS_SPAN_M),ROUNDDOWN(UNITS_STUDIO/CLOSINGS_SPAN_M,0)+IF(BK2-FIRST_CLOSING_M+1&lt;=UNITS_STUDIO-ROUNDDOWN(UNITS_STUDIO/CLOSINGS_SPAN_M,0)*CLOSINGS_SPAN_M,1,0),0)</f>
        <v/>
      </c>
      <c r="BL4" s="10">
        <f>IF(AND(BL2&gt;=FIRST_CLOSING_M,BL2&lt;FIRST_CLOSING_M+CLOSINGS_SPAN_M),ROUNDDOWN(UNITS_STUDIO/CLOSINGS_SPAN_M,0)+IF(BL2-FIRST_CLOSING_M+1&lt;=UNITS_STUDIO-ROUNDDOWN(UNITS_STUDIO/CLOSINGS_SPAN_M,0)*CLOSINGS_SPAN_M,1,0),0)</f>
        <v/>
      </c>
      <c r="BM4" s="10">
        <f>IF(AND(BM2&gt;=FIRST_CLOSING_M,BM2&lt;FIRST_CLOSING_M+CLOSINGS_SPAN_M),ROUNDDOWN(UNITS_STUDIO/CLOSINGS_SPAN_M,0)+IF(BM2-FIRST_CLOSING_M+1&lt;=UNITS_STUDIO-ROUNDDOWN(UNITS_STUDIO/CLOSINGS_SPAN_M,0)*CLOSINGS_SPAN_M,1,0),0)</f>
        <v/>
      </c>
      <c r="BN4" s="10">
        <f>IF(AND(BN2&gt;=FIRST_CLOSING_M,BN2&lt;FIRST_CLOSING_M+CLOSINGS_SPAN_M),ROUNDDOWN(UNITS_STUDIO/CLOSINGS_SPAN_M,0)+IF(BN2-FIRST_CLOSING_M+1&lt;=UNITS_STUDIO-ROUNDDOWN(UNITS_STUDIO/CLOSINGS_SPAN_M,0)*CLOSINGS_SPAN_M,1,0),0)</f>
        <v/>
      </c>
      <c r="BO4" s="10">
        <f>IF(AND(BO2&gt;=FIRST_CLOSING_M,BO2&lt;FIRST_CLOSING_M+CLOSINGS_SPAN_M),ROUNDDOWN(UNITS_STUDIO/CLOSINGS_SPAN_M,0)+IF(BO2-FIRST_CLOSING_M+1&lt;=UNITS_STUDIO-ROUNDDOWN(UNITS_STUDIO/CLOSINGS_SPAN_M,0)*CLOSINGS_SPAN_M,1,0),0)</f>
        <v/>
      </c>
      <c r="BP4" s="10">
        <f>IF(AND(BP2&gt;=FIRST_CLOSING_M,BP2&lt;FIRST_CLOSING_M+CLOSINGS_SPAN_M),ROUNDDOWN(UNITS_STUDIO/CLOSINGS_SPAN_M,0)+IF(BP2-FIRST_CLOSING_M+1&lt;=UNITS_STUDIO-ROUNDDOWN(UNITS_STUDIO/CLOSINGS_SPAN_M,0)*CLOSINGS_SPAN_M,1,0),0)</f>
        <v/>
      </c>
      <c r="BQ4" s="10">
        <f>IF(AND(BQ2&gt;=FIRST_CLOSING_M,BQ2&lt;FIRST_CLOSING_M+CLOSINGS_SPAN_M),ROUNDDOWN(UNITS_STUDIO/CLOSINGS_SPAN_M,0)+IF(BQ2-FIRST_CLOSING_M+1&lt;=UNITS_STUDIO-ROUNDDOWN(UNITS_STUDIO/CLOSINGS_SPAN_M,0)*CLOSINGS_SPAN_M,1,0),0)</f>
        <v/>
      </c>
      <c r="BR4" s="10">
        <f>IF(AND(BR2&gt;=FIRST_CLOSING_M,BR2&lt;FIRST_CLOSING_M+CLOSINGS_SPAN_M),ROUNDDOWN(UNITS_STUDIO/CLOSINGS_SPAN_M,0)+IF(BR2-FIRST_CLOSING_M+1&lt;=UNITS_STUDIO-ROUNDDOWN(UNITS_STUDIO/CLOSINGS_SPAN_M,0)*CLOSINGS_SPAN_M,1,0),0)</f>
        <v/>
      </c>
      <c r="BS4" s="10">
        <f>IF(AND(BS2&gt;=FIRST_CLOSING_M,BS2&lt;FIRST_CLOSING_M+CLOSINGS_SPAN_M),ROUNDDOWN(UNITS_STUDIO/CLOSINGS_SPAN_M,0)+IF(BS2-FIRST_CLOSING_M+1&lt;=UNITS_STUDIO-ROUNDDOWN(UNITS_STUDIO/CLOSINGS_SPAN_M,0)*CLOSINGS_SPAN_M,1,0),0)</f>
        <v/>
      </c>
      <c r="BT4" s="10">
        <f>IF(AND(BT2&gt;=FIRST_CLOSING_M,BT2&lt;FIRST_CLOSING_M+CLOSINGS_SPAN_M),ROUNDDOWN(UNITS_STUDIO/CLOSINGS_SPAN_M,0)+IF(BT2-FIRST_CLOSING_M+1&lt;=UNITS_STUDIO-ROUNDDOWN(UNITS_STUDIO/CLOSINGS_SPAN_M,0)*CLOSINGS_SPAN_M,1,0),0)</f>
        <v/>
      </c>
      <c r="BU4" s="10">
        <f>IF(AND(BU2&gt;=FIRST_CLOSING_M,BU2&lt;FIRST_CLOSING_M+CLOSINGS_SPAN_M),ROUNDDOWN(UNITS_STUDIO/CLOSINGS_SPAN_M,0)+IF(BU2-FIRST_CLOSING_M+1&lt;=UNITS_STUDIO-ROUNDDOWN(UNITS_STUDIO/CLOSINGS_SPAN_M,0)*CLOSINGS_SPAN_M,1,0),0)</f>
        <v/>
      </c>
      <c r="BV4" s="10">
        <f>IF(AND(BV2&gt;=FIRST_CLOSING_M,BV2&lt;FIRST_CLOSING_M+CLOSINGS_SPAN_M),ROUNDDOWN(UNITS_STUDIO/CLOSINGS_SPAN_M,0)+IF(BV2-FIRST_CLOSING_M+1&lt;=UNITS_STUDIO-ROUNDDOWN(UNITS_STUDIO/CLOSINGS_SPAN_M,0)*CLOSINGS_SPAN_M,1,0),0)</f>
        <v/>
      </c>
      <c r="BW4" s="10">
        <f>IF(AND(BW2&gt;=FIRST_CLOSING_M,BW2&lt;FIRST_CLOSING_M+CLOSINGS_SPAN_M),ROUNDDOWN(UNITS_STUDIO/CLOSINGS_SPAN_M,0)+IF(BW2-FIRST_CLOSING_M+1&lt;=UNITS_STUDIO-ROUNDDOWN(UNITS_STUDIO/CLOSINGS_SPAN_M,0)*CLOSINGS_SPAN_M,1,0),0)</f>
        <v/>
      </c>
      <c r="BX4" s="10">
        <f>IF(AND(BX2&gt;=FIRST_CLOSING_M,BX2&lt;FIRST_CLOSING_M+CLOSINGS_SPAN_M),ROUNDDOWN(UNITS_STUDIO/CLOSINGS_SPAN_M,0)+IF(BX2-FIRST_CLOSING_M+1&lt;=UNITS_STUDIO-ROUNDDOWN(UNITS_STUDIO/CLOSINGS_SPAN_M,0)*CLOSINGS_SPAN_M,1,0),0)</f>
        <v/>
      </c>
      <c r="BY4" s="10">
        <f>IF(AND(BY2&gt;=FIRST_CLOSING_M,BY2&lt;FIRST_CLOSING_M+CLOSINGS_SPAN_M),ROUNDDOWN(UNITS_STUDIO/CLOSINGS_SPAN_M,0)+IF(BY2-FIRST_CLOSING_M+1&lt;=UNITS_STUDIO-ROUNDDOWN(UNITS_STUDIO/CLOSINGS_SPAN_M,0)*CLOSINGS_SPAN_M,1,0),0)</f>
        <v/>
      </c>
      <c r="BZ4" s="10">
        <f>IF(AND(BZ2&gt;=FIRST_CLOSING_M,BZ2&lt;FIRST_CLOSING_M+CLOSINGS_SPAN_M),ROUNDDOWN(UNITS_STUDIO/CLOSINGS_SPAN_M,0)+IF(BZ2-FIRST_CLOSING_M+1&lt;=UNITS_STUDIO-ROUNDDOWN(UNITS_STUDIO/CLOSINGS_SPAN_M,0)*CLOSINGS_SPAN_M,1,0),0)</f>
        <v/>
      </c>
      <c r="CA4" s="10">
        <f>IF(AND(CA2&gt;=FIRST_CLOSING_M,CA2&lt;FIRST_CLOSING_M+CLOSINGS_SPAN_M),ROUNDDOWN(UNITS_STUDIO/CLOSINGS_SPAN_M,0)+IF(CA2-FIRST_CLOSING_M+1&lt;=UNITS_STUDIO-ROUNDDOWN(UNITS_STUDIO/CLOSINGS_SPAN_M,0)*CLOSINGS_SPAN_M,1,0),0)</f>
        <v/>
      </c>
      <c r="CB4" s="10">
        <f>IF(AND(CB2&gt;=FIRST_CLOSING_M,CB2&lt;FIRST_CLOSING_M+CLOSINGS_SPAN_M),ROUNDDOWN(UNITS_STUDIO/CLOSINGS_SPAN_M,0)+IF(CB2-FIRST_CLOSING_M+1&lt;=UNITS_STUDIO-ROUNDDOWN(UNITS_STUDIO/CLOSINGS_SPAN_M,0)*CLOSINGS_SPAN_M,1,0),0)</f>
        <v/>
      </c>
      <c r="CC4" s="10">
        <f>IF(AND(CC2&gt;=FIRST_CLOSING_M,CC2&lt;FIRST_CLOSING_M+CLOSINGS_SPAN_M),ROUNDDOWN(UNITS_STUDIO/CLOSINGS_SPAN_M,0)+IF(CC2-FIRST_CLOSING_M+1&lt;=UNITS_STUDIO-ROUNDDOWN(UNITS_STUDIO/CLOSINGS_SPAN_M,0)*CLOSINGS_SPAN_M,1,0),0)</f>
        <v/>
      </c>
      <c r="CD4" s="10">
        <f>IF(AND(CD2&gt;=FIRST_CLOSING_M,CD2&lt;FIRST_CLOSING_M+CLOSINGS_SPAN_M),ROUNDDOWN(UNITS_STUDIO/CLOSINGS_SPAN_M,0)+IF(CD2-FIRST_CLOSING_M+1&lt;=UNITS_STUDIO-ROUNDDOWN(UNITS_STUDIO/CLOSINGS_SPAN_M,0)*CLOSINGS_SPAN_M,1,0),0)</f>
        <v/>
      </c>
      <c r="CE4" s="10">
        <f>IF(AND(CE2&gt;=FIRST_CLOSING_M,CE2&lt;FIRST_CLOSING_M+CLOSINGS_SPAN_M),ROUNDDOWN(UNITS_STUDIO/CLOSINGS_SPAN_M,0)+IF(CE2-FIRST_CLOSING_M+1&lt;=UNITS_STUDIO-ROUNDDOWN(UNITS_STUDIO/CLOSINGS_SPAN_M,0)*CLOSINGS_SPAN_M,1,0),0)</f>
        <v/>
      </c>
      <c r="CF4" s="10">
        <f>IF(AND(CF2&gt;=FIRST_CLOSING_M,CF2&lt;FIRST_CLOSING_M+CLOSINGS_SPAN_M),ROUNDDOWN(UNITS_STUDIO/CLOSINGS_SPAN_M,0)+IF(CF2-FIRST_CLOSING_M+1&lt;=UNITS_STUDIO-ROUNDDOWN(UNITS_STUDIO/CLOSINGS_SPAN_M,0)*CLOSINGS_SPAN_M,1,0),0)</f>
        <v/>
      </c>
      <c r="CG4" s="10">
        <f>IF(AND(CG2&gt;=FIRST_CLOSING_M,CG2&lt;FIRST_CLOSING_M+CLOSINGS_SPAN_M),ROUNDDOWN(UNITS_STUDIO/CLOSINGS_SPAN_M,0)+IF(CG2-FIRST_CLOSING_M+1&lt;=UNITS_STUDIO-ROUNDDOWN(UNITS_STUDIO/CLOSINGS_SPAN_M,0)*CLOSINGS_SPAN_M,1,0),0)</f>
        <v/>
      </c>
      <c r="CH4" s="10">
        <f>IF(AND(CH2&gt;=FIRST_CLOSING_M,CH2&lt;FIRST_CLOSING_M+CLOSINGS_SPAN_M),ROUNDDOWN(UNITS_STUDIO/CLOSINGS_SPAN_M,0)+IF(CH2-FIRST_CLOSING_M+1&lt;=UNITS_STUDIO-ROUNDDOWN(UNITS_STUDIO/CLOSINGS_SPAN_M,0)*CLOSINGS_SPAN_M,1,0),0)</f>
        <v/>
      </c>
    </row>
    <row r="5">
      <c r="A5" s="3" t="inlineStr">
        <is>
          <t>One-bedroom closings</t>
        </is>
      </c>
      <c r="B5" s="4" t="inlineStr">
        <is>
          <t>units</t>
        </is>
      </c>
      <c r="C5" s="10">
        <f>IF(AND(C2&gt;=FIRST_CLOSING_M,C2&lt;FIRST_CLOSING_M+CLOSINGS_SPAN_M),ROUNDDOWN(UNITS_1BR/CLOSINGS_SPAN_M,0)+IF(C2-FIRST_CLOSING_M+1&lt;=UNITS_1BR-ROUNDDOWN(UNITS_1BR/CLOSINGS_SPAN_M,0)*CLOSINGS_SPAN_M,1,0),0)</f>
        <v/>
      </c>
      <c r="D5" s="10">
        <f>IF(AND(D2&gt;=FIRST_CLOSING_M,D2&lt;FIRST_CLOSING_M+CLOSINGS_SPAN_M),ROUNDDOWN(UNITS_1BR/CLOSINGS_SPAN_M,0)+IF(D2-FIRST_CLOSING_M+1&lt;=UNITS_1BR-ROUNDDOWN(UNITS_1BR/CLOSINGS_SPAN_M,0)*CLOSINGS_SPAN_M,1,0),0)</f>
        <v/>
      </c>
      <c r="E5" s="10">
        <f>IF(AND(E2&gt;=FIRST_CLOSING_M,E2&lt;FIRST_CLOSING_M+CLOSINGS_SPAN_M),ROUNDDOWN(UNITS_1BR/CLOSINGS_SPAN_M,0)+IF(E2-FIRST_CLOSING_M+1&lt;=UNITS_1BR-ROUNDDOWN(UNITS_1BR/CLOSINGS_SPAN_M,0)*CLOSINGS_SPAN_M,1,0),0)</f>
        <v/>
      </c>
      <c r="F5" s="10">
        <f>IF(AND(F2&gt;=FIRST_CLOSING_M,F2&lt;FIRST_CLOSING_M+CLOSINGS_SPAN_M),ROUNDDOWN(UNITS_1BR/CLOSINGS_SPAN_M,0)+IF(F2-FIRST_CLOSING_M+1&lt;=UNITS_1BR-ROUNDDOWN(UNITS_1BR/CLOSINGS_SPAN_M,0)*CLOSINGS_SPAN_M,1,0),0)</f>
        <v/>
      </c>
      <c r="G5" s="10">
        <f>IF(AND(G2&gt;=FIRST_CLOSING_M,G2&lt;FIRST_CLOSING_M+CLOSINGS_SPAN_M),ROUNDDOWN(UNITS_1BR/CLOSINGS_SPAN_M,0)+IF(G2-FIRST_CLOSING_M+1&lt;=UNITS_1BR-ROUNDDOWN(UNITS_1BR/CLOSINGS_SPAN_M,0)*CLOSINGS_SPAN_M,1,0),0)</f>
        <v/>
      </c>
      <c r="H5" s="10">
        <f>IF(AND(H2&gt;=FIRST_CLOSING_M,H2&lt;FIRST_CLOSING_M+CLOSINGS_SPAN_M),ROUNDDOWN(UNITS_1BR/CLOSINGS_SPAN_M,0)+IF(H2-FIRST_CLOSING_M+1&lt;=UNITS_1BR-ROUNDDOWN(UNITS_1BR/CLOSINGS_SPAN_M,0)*CLOSINGS_SPAN_M,1,0),0)</f>
        <v/>
      </c>
      <c r="I5" s="10">
        <f>IF(AND(I2&gt;=FIRST_CLOSING_M,I2&lt;FIRST_CLOSING_M+CLOSINGS_SPAN_M),ROUNDDOWN(UNITS_1BR/CLOSINGS_SPAN_M,0)+IF(I2-FIRST_CLOSING_M+1&lt;=UNITS_1BR-ROUNDDOWN(UNITS_1BR/CLOSINGS_SPAN_M,0)*CLOSINGS_SPAN_M,1,0),0)</f>
        <v/>
      </c>
      <c r="J5" s="10">
        <f>IF(AND(J2&gt;=FIRST_CLOSING_M,J2&lt;FIRST_CLOSING_M+CLOSINGS_SPAN_M),ROUNDDOWN(UNITS_1BR/CLOSINGS_SPAN_M,0)+IF(J2-FIRST_CLOSING_M+1&lt;=UNITS_1BR-ROUNDDOWN(UNITS_1BR/CLOSINGS_SPAN_M,0)*CLOSINGS_SPAN_M,1,0),0)</f>
        <v/>
      </c>
      <c r="K5" s="10">
        <f>IF(AND(K2&gt;=FIRST_CLOSING_M,K2&lt;FIRST_CLOSING_M+CLOSINGS_SPAN_M),ROUNDDOWN(UNITS_1BR/CLOSINGS_SPAN_M,0)+IF(K2-FIRST_CLOSING_M+1&lt;=UNITS_1BR-ROUNDDOWN(UNITS_1BR/CLOSINGS_SPAN_M,0)*CLOSINGS_SPAN_M,1,0),0)</f>
        <v/>
      </c>
      <c r="L5" s="10">
        <f>IF(AND(L2&gt;=FIRST_CLOSING_M,L2&lt;FIRST_CLOSING_M+CLOSINGS_SPAN_M),ROUNDDOWN(UNITS_1BR/CLOSINGS_SPAN_M,0)+IF(L2-FIRST_CLOSING_M+1&lt;=UNITS_1BR-ROUNDDOWN(UNITS_1BR/CLOSINGS_SPAN_M,0)*CLOSINGS_SPAN_M,1,0),0)</f>
        <v/>
      </c>
      <c r="M5" s="10">
        <f>IF(AND(M2&gt;=FIRST_CLOSING_M,M2&lt;FIRST_CLOSING_M+CLOSINGS_SPAN_M),ROUNDDOWN(UNITS_1BR/CLOSINGS_SPAN_M,0)+IF(M2-FIRST_CLOSING_M+1&lt;=UNITS_1BR-ROUNDDOWN(UNITS_1BR/CLOSINGS_SPAN_M,0)*CLOSINGS_SPAN_M,1,0),0)</f>
        <v/>
      </c>
      <c r="N5" s="10">
        <f>IF(AND(N2&gt;=FIRST_CLOSING_M,N2&lt;FIRST_CLOSING_M+CLOSINGS_SPAN_M),ROUNDDOWN(UNITS_1BR/CLOSINGS_SPAN_M,0)+IF(N2-FIRST_CLOSING_M+1&lt;=UNITS_1BR-ROUNDDOWN(UNITS_1BR/CLOSINGS_SPAN_M,0)*CLOSINGS_SPAN_M,1,0),0)</f>
        <v/>
      </c>
      <c r="O5" s="10">
        <f>IF(AND(O2&gt;=FIRST_CLOSING_M,O2&lt;FIRST_CLOSING_M+CLOSINGS_SPAN_M),ROUNDDOWN(UNITS_1BR/CLOSINGS_SPAN_M,0)+IF(O2-FIRST_CLOSING_M+1&lt;=UNITS_1BR-ROUNDDOWN(UNITS_1BR/CLOSINGS_SPAN_M,0)*CLOSINGS_SPAN_M,1,0),0)</f>
        <v/>
      </c>
      <c r="P5" s="10">
        <f>IF(AND(P2&gt;=FIRST_CLOSING_M,P2&lt;FIRST_CLOSING_M+CLOSINGS_SPAN_M),ROUNDDOWN(UNITS_1BR/CLOSINGS_SPAN_M,0)+IF(P2-FIRST_CLOSING_M+1&lt;=UNITS_1BR-ROUNDDOWN(UNITS_1BR/CLOSINGS_SPAN_M,0)*CLOSINGS_SPAN_M,1,0),0)</f>
        <v/>
      </c>
      <c r="Q5" s="10">
        <f>IF(AND(Q2&gt;=FIRST_CLOSING_M,Q2&lt;FIRST_CLOSING_M+CLOSINGS_SPAN_M),ROUNDDOWN(UNITS_1BR/CLOSINGS_SPAN_M,0)+IF(Q2-FIRST_CLOSING_M+1&lt;=UNITS_1BR-ROUNDDOWN(UNITS_1BR/CLOSINGS_SPAN_M,0)*CLOSINGS_SPAN_M,1,0),0)</f>
        <v/>
      </c>
      <c r="R5" s="10">
        <f>IF(AND(R2&gt;=FIRST_CLOSING_M,R2&lt;FIRST_CLOSING_M+CLOSINGS_SPAN_M),ROUNDDOWN(UNITS_1BR/CLOSINGS_SPAN_M,0)+IF(R2-FIRST_CLOSING_M+1&lt;=UNITS_1BR-ROUNDDOWN(UNITS_1BR/CLOSINGS_SPAN_M,0)*CLOSINGS_SPAN_M,1,0),0)</f>
        <v/>
      </c>
      <c r="S5" s="10">
        <f>IF(AND(S2&gt;=FIRST_CLOSING_M,S2&lt;FIRST_CLOSING_M+CLOSINGS_SPAN_M),ROUNDDOWN(UNITS_1BR/CLOSINGS_SPAN_M,0)+IF(S2-FIRST_CLOSING_M+1&lt;=UNITS_1BR-ROUNDDOWN(UNITS_1BR/CLOSINGS_SPAN_M,0)*CLOSINGS_SPAN_M,1,0),0)</f>
        <v/>
      </c>
      <c r="T5" s="10">
        <f>IF(AND(T2&gt;=FIRST_CLOSING_M,T2&lt;FIRST_CLOSING_M+CLOSINGS_SPAN_M),ROUNDDOWN(UNITS_1BR/CLOSINGS_SPAN_M,0)+IF(T2-FIRST_CLOSING_M+1&lt;=UNITS_1BR-ROUNDDOWN(UNITS_1BR/CLOSINGS_SPAN_M,0)*CLOSINGS_SPAN_M,1,0),0)</f>
        <v/>
      </c>
      <c r="U5" s="10">
        <f>IF(AND(U2&gt;=FIRST_CLOSING_M,U2&lt;FIRST_CLOSING_M+CLOSINGS_SPAN_M),ROUNDDOWN(UNITS_1BR/CLOSINGS_SPAN_M,0)+IF(U2-FIRST_CLOSING_M+1&lt;=UNITS_1BR-ROUNDDOWN(UNITS_1BR/CLOSINGS_SPAN_M,0)*CLOSINGS_SPAN_M,1,0),0)</f>
        <v/>
      </c>
      <c r="V5" s="10">
        <f>IF(AND(V2&gt;=FIRST_CLOSING_M,V2&lt;FIRST_CLOSING_M+CLOSINGS_SPAN_M),ROUNDDOWN(UNITS_1BR/CLOSINGS_SPAN_M,0)+IF(V2-FIRST_CLOSING_M+1&lt;=UNITS_1BR-ROUNDDOWN(UNITS_1BR/CLOSINGS_SPAN_M,0)*CLOSINGS_SPAN_M,1,0),0)</f>
        <v/>
      </c>
      <c r="W5" s="10">
        <f>IF(AND(W2&gt;=FIRST_CLOSING_M,W2&lt;FIRST_CLOSING_M+CLOSINGS_SPAN_M),ROUNDDOWN(UNITS_1BR/CLOSINGS_SPAN_M,0)+IF(W2-FIRST_CLOSING_M+1&lt;=UNITS_1BR-ROUNDDOWN(UNITS_1BR/CLOSINGS_SPAN_M,0)*CLOSINGS_SPAN_M,1,0),0)</f>
        <v/>
      </c>
      <c r="X5" s="10">
        <f>IF(AND(X2&gt;=FIRST_CLOSING_M,X2&lt;FIRST_CLOSING_M+CLOSINGS_SPAN_M),ROUNDDOWN(UNITS_1BR/CLOSINGS_SPAN_M,0)+IF(X2-FIRST_CLOSING_M+1&lt;=UNITS_1BR-ROUNDDOWN(UNITS_1BR/CLOSINGS_SPAN_M,0)*CLOSINGS_SPAN_M,1,0),0)</f>
        <v/>
      </c>
      <c r="Y5" s="10">
        <f>IF(AND(Y2&gt;=FIRST_CLOSING_M,Y2&lt;FIRST_CLOSING_M+CLOSINGS_SPAN_M),ROUNDDOWN(UNITS_1BR/CLOSINGS_SPAN_M,0)+IF(Y2-FIRST_CLOSING_M+1&lt;=UNITS_1BR-ROUNDDOWN(UNITS_1BR/CLOSINGS_SPAN_M,0)*CLOSINGS_SPAN_M,1,0),0)</f>
        <v/>
      </c>
      <c r="Z5" s="10">
        <f>IF(AND(Z2&gt;=FIRST_CLOSING_M,Z2&lt;FIRST_CLOSING_M+CLOSINGS_SPAN_M),ROUNDDOWN(UNITS_1BR/CLOSINGS_SPAN_M,0)+IF(Z2-FIRST_CLOSING_M+1&lt;=UNITS_1BR-ROUNDDOWN(UNITS_1BR/CLOSINGS_SPAN_M,0)*CLOSINGS_SPAN_M,1,0),0)</f>
        <v/>
      </c>
      <c r="AA5" s="10">
        <f>IF(AND(AA2&gt;=FIRST_CLOSING_M,AA2&lt;FIRST_CLOSING_M+CLOSINGS_SPAN_M),ROUNDDOWN(UNITS_1BR/CLOSINGS_SPAN_M,0)+IF(AA2-FIRST_CLOSING_M+1&lt;=UNITS_1BR-ROUNDDOWN(UNITS_1BR/CLOSINGS_SPAN_M,0)*CLOSINGS_SPAN_M,1,0),0)</f>
        <v/>
      </c>
      <c r="AB5" s="10">
        <f>IF(AND(AB2&gt;=FIRST_CLOSING_M,AB2&lt;FIRST_CLOSING_M+CLOSINGS_SPAN_M),ROUNDDOWN(UNITS_1BR/CLOSINGS_SPAN_M,0)+IF(AB2-FIRST_CLOSING_M+1&lt;=UNITS_1BR-ROUNDDOWN(UNITS_1BR/CLOSINGS_SPAN_M,0)*CLOSINGS_SPAN_M,1,0),0)</f>
        <v/>
      </c>
      <c r="AC5" s="10">
        <f>IF(AND(AC2&gt;=FIRST_CLOSING_M,AC2&lt;FIRST_CLOSING_M+CLOSINGS_SPAN_M),ROUNDDOWN(UNITS_1BR/CLOSINGS_SPAN_M,0)+IF(AC2-FIRST_CLOSING_M+1&lt;=UNITS_1BR-ROUNDDOWN(UNITS_1BR/CLOSINGS_SPAN_M,0)*CLOSINGS_SPAN_M,1,0),0)</f>
        <v/>
      </c>
      <c r="AD5" s="10">
        <f>IF(AND(AD2&gt;=FIRST_CLOSING_M,AD2&lt;FIRST_CLOSING_M+CLOSINGS_SPAN_M),ROUNDDOWN(UNITS_1BR/CLOSINGS_SPAN_M,0)+IF(AD2-FIRST_CLOSING_M+1&lt;=UNITS_1BR-ROUNDDOWN(UNITS_1BR/CLOSINGS_SPAN_M,0)*CLOSINGS_SPAN_M,1,0),0)</f>
        <v/>
      </c>
      <c r="AE5" s="10">
        <f>IF(AND(AE2&gt;=FIRST_CLOSING_M,AE2&lt;FIRST_CLOSING_M+CLOSINGS_SPAN_M),ROUNDDOWN(UNITS_1BR/CLOSINGS_SPAN_M,0)+IF(AE2-FIRST_CLOSING_M+1&lt;=UNITS_1BR-ROUNDDOWN(UNITS_1BR/CLOSINGS_SPAN_M,0)*CLOSINGS_SPAN_M,1,0),0)</f>
        <v/>
      </c>
      <c r="AF5" s="10">
        <f>IF(AND(AF2&gt;=FIRST_CLOSING_M,AF2&lt;FIRST_CLOSING_M+CLOSINGS_SPAN_M),ROUNDDOWN(UNITS_1BR/CLOSINGS_SPAN_M,0)+IF(AF2-FIRST_CLOSING_M+1&lt;=UNITS_1BR-ROUNDDOWN(UNITS_1BR/CLOSINGS_SPAN_M,0)*CLOSINGS_SPAN_M,1,0),0)</f>
        <v/>
      </c>
      <c r="AG5" s="10">
        <f>IF(AND(AG2&gt;=FIRST_CLOSING_M,AG2&lt;FIRST_CLOSING_M+CLOSINGS_SPAN_M),ROUNDDOWN(UNITS_1BR/CLOSINGS_SPAN_M,0)+IF(AG2-FIRST_CLOSING_M+1&lt;=UNITS_1BR-ROUNDDOWN(UNITS_1BR/CLOSINGS_SPAN_M,0)*CLOSINGS_SPAN_M,1,0),0)</f>
        <v/>
      </c>
      <c r="AH5" s="10">
        <f>IF(AND(AH2&gt;=FIRST_CLOSING_M,AH2&lt;FIRST_CLOSING_M+CLOSINGS_SPAN_M),ROUNDDOWN(UNITS_1BR/CLOSINGS_SPAN_M,0)+IF(AH2-FIRST_CLOSING_M+1&lt;=UNITS_1BR-ROUNDDOWN(UNITS_1BR/CLOSINGS_SPAN_M,0)*CLOSINGS_SPAN_M,1,0),0)</f>
        <v/>
      </c>
      <c r="AI5" s="10">
        <f>IF(AND(AI2&gt;=FIRST_CLOSING_M,AI2&lt;FIRST_CLOSING_M+CLOSINGS_SPAN_M),ROUNDDOWN(UNITS_1BR/CLOSINGS_SPAN_M,0)+IF(AI2-FIRST_CLOSING_M+1&lt;=UNITS_1BR-ROUNDDOWN(UNITS_1BR/CLOSINGS_SPAN_M,0)*CLOSINGS_SPAN_M,1,0),0)</f>
        <v/>
      </c>
      <c r="AJ5" s="10">
        <f>IF(AND(AJ2&gt;=FIRST_CLOSING_M,AJ2&lt;FIRST_CLOSING_M+CLOSINGS_SPAN_M),ROUNDDOWN(UNITS_1BR/CLOSINGS_SPAN_M,0)+IF(AJ2-FIRST_CLOSING_M+1&lt;=UNITS_1BR-ROUNDDOWN(UNITS_1BR/CLOSINGS_SPAN_M,0)*CLOSINGS_SPAN_M,1,0),0)</f>
        <v/>
      </c>
      <c r="AK5" s="10">
        <f>IF(AND(AK2&gt;=FIRST_CLOSING_M,AK2&lt;FIRST_CLOSING_M+CLOSINGS_SPAN_M),ROUNDDOWN(UNITS_1BR/CLOSINGS_SPAN_M,0)+IF(AK2-FIRST_CLOSING_M+1&lt;=UNITS_1BR-ROUNDDOWN(UNITS_1BR/CLOSINGS_SPAN_M,0)*CLOSINGS_SPAN_M,1,0),0)</f>
        <v/>
      </c>
      <c r="AL5" s="10">
        <f>IF(AND(AL2&gt;=FIRST_CLOSING_M,AL2&lt;FIRST_CLOSING_M+CLOSINGS_SPAN_M),ROUNDDOWN(UNITS_1BR/CLOSINGS_SPAN_M,0)+IF(AL2-FIRST_CLOSING_M+1&lt;=UNITS_1BR-ROUNDDOWN(UNITS_1BR/CLOSINGS_SPAN_M,0)*CLOSINGS_SPAN_M,1,0),0)</f>
        <v/>
      </c>
      <c r="AM5" s="10">
        <f>IF(AND(AM2&gt;=FIRST_CLOSING_M,AM2&lt;FIRST_CLOSING_M+CLOSINGS_SPAN_M),ROUNDDOWN(UNITS_1BR/CLOSINGS_SPAN_M,0)+IF(AM2-FIRST_CLOSING_M+1&lt;=UNITS_1BR-ROUNDDOWN(UNITS_1BR/CLOSINGS_SPAN_M,0)*CLOSINGS_SPAN_M,1,0),0)</f>
        <v/>
      </c>
      <c r="AN5" s="10">
        <f>IF(AND(AN2&gt;=FIRST_CLOSING_M,AN2&lt;FIRST_CLOSING_M+CLOSINGS_SPAN_M),ROUNDDOWN(UNITS_1BR/CLOSINGS_SPAN_M,0)+IF(AN2-FIRST_CLOSING_M+1&lt;=UNITS_1BR-ROUNDDOWN(UNITS_1BR/CLOSINGS_SPAN_M,0)*CLOSINGS_SPAN_M,1,0),0)</f>
        <v/>
      </c>
      <c r="AO5" s="10">
        <f>IF(AND(AO2&gt;=FIRST_CLOSING_M,AO2&lt;FIRST_CLOSING_M+CLOSINGS_SPAN_M),ROUNDDOWN(UNITS_1BR/CLOSINGS_SPAN_M,0)+IF(AO2-FIRST_CLOSING_M+1&lt;=UNITS_1BR-ROUNDDOWN(UNITS_1BR/CLOSINGS_SPAN_M,0)*CLOSINGS_SPAN_M,1,0),0)</f>
        <v/>
      </c>
      <c r="AP5" s="10">
        <f>IF(AND(AP2&gt;=FIRST_CLOSING_M,AP2&lt;FIRST_CLOSING_M+CLOSINGS_SPAN_M),ROUNDDOWN(UNITS_1BR/CLOSINGS_SPAN_M,0)+IF(AP2-FIRST_CLOSING_M+1&lt;=UNITS_1BR-ROUNDDOWN(UNITS_1BR/CLOSINGS_SPAN_M,0)*CLOSINGS_SPAN_M,1,0),0)</f>
        <v/>
      </c>
      <c r="AQ5" s="10">
        <f>IF(AND(AQ2&gt;=FIRST_CLOSING_M,AQ2&lt;FIRST_CLOSING_M+CLOSINGS_SPAN_M),ROUNDDOWN(UNITS_1BR/CLOSINGS_SPAN_M,0)+IF(AQ2-FIRST_CLOSING_M+1&lt;=UNITS_1BR-ROUNDDOWN(UNITS_1BR/CLOSINGS_SPAN_M,0)*CLOSINGS_SPAN_M,1,0),0)</f>
        <v/>
      </c>
      <c r="AR5" s="10">
        <f>IF(AND(AR2&gt;=FIRST_CLOSING_M,AR2&lt;FIRST_CLOSING_M+CLOSINGS_SPAN_M),ROUNDDOWN(UNITS_1BR/CLOSINGS_SPAN_M,0)+IF(AR2-FIRST_CLOSING_M+1&lt;=UNITS_1BR-ROUNDDOWN(UNITS_1BR/CLOSINGS_SPAN_M,0)*CLOSINGS_SPAN_M,1,0),0)</f>
        <v/>
      </c>
      <c r="AS5" s="10">
        <f>IF(AND(AS2&gt;=FIRST_CLOSING_M,AS2&lt;FIRST_CLOSING_M+CLOSINGS_SPAN_M),ROUNDDOWN(UNITS_1BR/CLOSINGS_SPAN_M,0)+IF(AS2-FIRST_CLOSING_M+1&lt;=UNITS_1BR-ROUNDDOWN(UNITS_1BR/CLOSINGS_SPAN_M,0)*CLOSINGS_SPAN_M,1,0),0)</f>
        <v/>
      </c>
      <c r="AT5" s="10">
        <f>IF(AND(AT2&gt;=FIRST_CLOSING_M,AT2&lt;FIRST_CLOSING_M+CLOSINGS_SPAN_M),ROUNDDOWN(UNITS_1BR/CLOSINGS_SPAN_M,0)+IF(AT2-FIRST_CLOSING_M+1&lt;=UNITS_1BR-ROUNDDOWN(UNITS_1BR/CLOSINGS_SPAN_M,0)*CLOSINGS_SPAN_M,1,0),0)</f>
        <v/>
      </c>
      <c r="AU5" s="10">
        <f>IF(AND(AU2&gt;=FIRST_CLOSING_M,AU2&lt;FIRST_CLOSING_M+CLOSINGS_SPAN_M),ROUNDDOWN(UNITS_1BR/CLOSINGS_SPAN_M,0)+IF(AU2-FIRST_CLOSING_M+1&lt;=UNITS_1BR-ROUNDDOWN(UNITS_1BR/CLOSINGS_SPAN_M,0)*CLOSINGS_SPAN_M,1,0),0)</f>
        <v/>
      </c>
      <c r="AV5" s="10">
        <f>IF(AND(AV2&gt;=FIRST_CLOSING_M,AV2&lt;FIRST_CLOSING_M+CLOSINGS_SPAN_M),ROUNDDOWN(UNITS_1BR/CLOSINGS_SPAN_M,0)+IF(AV2-FIRST_CLOSING_M+1&lt;=UNITS_1BR-ROUNDDOWN(UNITS_1BR/CLOSINGS_SPAN_M,0)*CLOSINGS_SPAN_M,1,0),0)</f>
        <v/>
      </c>
      <c r="AW5" s="10">
        <f>IF(AND(AW2&gt;=FIRST_CLOSING_M,AW2&lt;FIRST_CLOSING_M+CLOSINGS_SPAN_M),ROUNDDOWN(UNITS_1BR/CLOSINGS_SPAN_M,0)+IF(AW2-FIRST_CLOSING_M+1&lt;=UNITS_1BR-ROUNDDOWN(UNITS_1BR/CLOSINGS_SPAN_M,0)*CLOSINGS_SPAN_M,1,0),0)</f>
        <v/>
      </c>
      <c r="AX5" s="10">
        <f>IF(AND(AX2&gt;=FIRST_CLOSING_M,AX2&lt;FIRST_CLOSING_M+CLOSINGS_SPAN_M),ROUNDDOWN(UNITS_1BR/CLOSINGS_SPAN_M,0)+IF(AX2-FIRST_CLOSING_M+1&lt;=UNITS_1BR-ROUNDDOWN(UNITS_1BR/CLOSINGS_SPAN_M,0)*CLOSINGS_SPAN_M,1,0),0)</f>
        <v/>
      </c>
      <c r="AY5" s="10">
        <f>IF(AND(AY2&gt;=FIRST_CLOSING_M,AY2&lt;FIRST_CLOSING_M+CLOSINGS_SPAN_M),ROUNDDOWN(UNITS_1BR/CLOSINGS_SPAN_M,0)+IF(AY2-FIRST_CLOSING_M+1&lt;=UNITS_1BR-ROUNDDOWN(UNITS_1BR/CLOSINGS_SPAN_M,0)*CLOSINGS_SPAN_M,1,0),0)</f>
        <v/>
      </c>
      <c r="AZ5" s="10">
        <f>IF(AND(AZ2&gt;=FIRST_CLOSING_M,AZ2&lt;FIRST_CLOSING_M+CLOSINGS_SPAN_M),ROUNDDOWN(UNITS_1BR/CLOSINGS_SPAN_M,0)+IF(AZ2-FIRST_CLOSING_M+1&lt;=UNITS_1BR-ROUNDDOWN(UNITS_1BR/CLOSINGS_SPAN_M,0)*CLOSINGS_SPAN_M,1,0),0)</f>
        <v/>
      </c>
      <c r="BA5" s="10">
        <f>IF(AND(BA2&gt;=FIRST_CLOSING_M,BA2&lt;FIRST_CLOSING_M+CLOSINGS_SPAN_M),ROUNDDOWN(UNITS_1BR/CLOSINGS_SPAN_M,0)+IF(BA2-FIRST_CLOSING_M+1&lt;=UNITS_1BR-ROUNDDOWN(UNITS_1BR/CLOSINGS_SPAN_M,0)*CLOSINGS_SPAN_M,1,0),0)</f>
        <v/>
      </c>
      <c r="BB5" s="10">
        <f>IF(AND(BB2&gt;=FIRST_CLOSING_M,BB2&lt;FIRST_CLOSING_M+CLOSINGS_SPAN_M),ROUNDDOWN(UNITS_1BR/CLOSINGS_SPAN_M,0)+IF(BB2-FIRST_CLOSING_M+1&lt;=UNITS_1BR-ROUNDDOWN(UNITS_1BR/CLOSINGS_SPAN_M,0)*CLOSINGS_SPAN_M,1,0),0)</f>
        <v/>
      </c>
      <c r="BC5" s="10">
        <f>IF(AND(BC2&gt;=FIRST_CLOSING_M,BC2&lt;FIRST_CLOSING_M+CLOSINGS_SPAN_M),ROUNDDOWN(UNITS_1BR/CLOSINGS_SPAN_M,0)+IF(BC2-FIRST_CLOSING_M+1&lt;=UNITS_1BR-ROUNDDOWN(UNITS_1BR/CLOSINGS_SPAN_M,0)*CLOSINGS_SPAN_M,1,0),0)</f>
        <v/>
      </c>
      <c r="BD5" s="10">
        <f>IF(AND(BD2&gt;=FIRST_CLOSING_M,BD2&lt;FIRST_CLOSING_M+CLOSINGS_SPAN_M),ROUNDDOWN(UNITS_1BR/CLOSINGS_SPAN_M,0)+IF(BD2-FIRST_CLOSING_M+1&lt;=UNITS_1BR-ROUNDDOWN(UNITS_1BR/CLOSINGS_SPAN_M,0)*CLOSINGS_SPAN_M,1,0),0)</f>
        <v/>
      </c>
      <c r="BE5" s="10">
        <f>IF(AND(BE2&gt;=FIRST_CLOSING_M,BE2&lt;FIRST_CLOSING_M+CLOSINGS_SPAN_M),ROUNDDOWN(UNITS_1BR/CLOSINGS_SPAN_M,0)+IF(BE2-FIRST_CLOSING_M+1&lt;=UNITS_1BR-ROUNDDOWN(UNITS_1BR/CLOSINGS_SPAN_M,0)*CLOSINGS_SPAN_M,1,0),0)</f>
        <v/>
      </c>
      <c r="BF5" s="10">
        <f>IF(AND(BF2&gt;=FIRST_CLOSING_M,BF2&lt;FIRST_CLOSING_M+CLOSINGS_SPAN_M),ROUNDDOWN(UNITS_1BR/CLOSINGS_SPAN_M,0)+IF(BF2-FIRST_CLOSING_M+1&lt;=UNITS_1BR-ROUNDDOWN(UNITS_1BR/CLOSINGS_SPAN_M,0)*CLOSINGS_SPAN_M,1,0),0)</f>
        <v/>
      </c>
      <c r="BG5" s="10">
        <f>IF(AND(BG2&gt;=FIRST_CLOSING_M,BG2&lt;FIRST_CLOSING_M+CLOSINGS_SPAN_M),ROUNDDOWN(UNITS_1BR/CLOSINGS_SPAN_M,0)+IF(BG2-FIRST_CLOSING_M+1&lt;=UNITS_1BR-ROUNDDOWN(UNITS_1BR/CLOSINGS_SPAN_M,0)*CLOSINGS_SPAN_M,1,0),0)</f>
        <v/>
      </c>
      <c r="BH5" s="10">
        <f>IF(AND(BH2&gt;=FIRST_CLOSING_M,BH2&lt;FIRST_CLOSING_M+CLOSINGS_SPAN_M),ROUNDDOWN(UNITS_1BR/CLOSINGS_SPAN_M,0)+IF(BH2-FIRST_CLOSING_M+1&lt;=UNITS_1BR-ROUNDDOWN(UNITS_1BR/CLOSINGS_SPAN_M,0)*CLOSINGS_SPAN_M,1,0),0)</f>
        <v/>
      </c>
      <c r="BI5" s="10">
        <f>IF(AND(BI2&gt;=FIRST_CLOSING_M,BI2&lt;FIRST_CLOSING_M+CLOSINGS_SPAN_M),ROUNDDOWN(UNITS_1BR/CLOSINGS_SPAN_M,0)+IF(BI2-FIRST_CLOSING_M+1&lt;=UNITS_1BR-ROUNDDOWN(UNITS_1BR/CLOSINGS_SPAN_M,0)*CLOSINGS_SPAN_M,1,0),0)</f>
        <v/>
      </c>
      <c r="BJ5" s="10">
        <f>IF(AND(BJ2&gt;=FIRST_CLOSING_M,BJ2&lt;FIRST_CLOSING_M+CLOSINGS_SPAN_M),ROUNDDOWN(UNITS_1BR/CLOSINGS_SPAN_M,0)+IF(BJ2-FIRST_CLOSING_M+1&lt;=UNITS_1BR-ROUNDDOWN(UNITS_1BR/CLOSINGS_SPAN_M,0)*CLOSINGS_SPAN_M,1,0),0)</f>
        <v/>
      </c>
      <c r="BK5" s="10">
        <f>IF(AND(BK2&gt;=FIRST_CLOSING_M,BK2&lt;FIRST_CLOSING_M+CLOSINGS_SPAN_M),ROUNDDOWN(UNITS_1BR/CLOSINGS_SPAN_M,0)+IF(BK2-FIRST_CLOSING_M+1&lt;=UNITS_1BR-ROUNDDOWN(UNITS_1BR/CLOSINGS_SPAN_M,0)*CLOSINGS_SPAN_M,1,0),0)</f>
        <v/>
      </c>
      <c r="BL5" s="10">
        <f>IF(AND(BL2&gt;=FIRST_CLOSING_M,BL2&lt;FIRST_CLOSING_M+CLOSINGS_SPAN_M),ROUNDDOWN(UNITS_1BR/CLOSINGS_SPAN_M,0)+IF(BL2-FIRST_CLOSING_M+1&lt;=UNITS_1BR-ROUNDDOWN(UNITS_1BR/CLOSINGS_SPAN_M,0)*CLOSINGS_SPAN_M,1,0),0)</f>
        <v/>
      </c>
      <c r="BM5" s="10">
        <f>IF(AND(BM2&gt;=FIRST_CLOSING_M,BM2&lt;FIRST_CLOSING_M+CLOSINGS_SPAN_M),ROUNDDOWN(UNITS_1BR/CLOSINGS_SPAN_M,0)+IF(BM2-FIRST_CLOSING_M+1&lt;=UNITS_1BR-ROUNDDOWN(UNITS_1BR/CLOSINGS_SPAN_M,0)*CLOSINGS_SPAN_M,1,0),0)</f>
        <v/>
      </c>
      <c r="BN5" s="10">
        <f>IF(AND(BN2&gt;=FIRST_CLOSING_M,BN2&lt;FIRST_CLOSING_M+CLOSINGS_SPAN_M),ROUNDDOWN(UNITS_1BR/CLOSINGS_SPAN_M,0)+IF(BN2-FIRST_CLOSING_M+1&lt;=UNITS_1BR-ROUNDDOWN(UNITS_1BR/CLOSINGS_SPAN_M,0)*CLOSINGS_SPAN_M,1,0),0)</f>
        <v/>
      </c>
      <c r="BO5" s="10">
        <f>IF(AND(BO2&gt;=FIRST_CLOSING_M,BO2&lt;FIRST_CLOSING_M+CLOSINGS_SPAN_M),ROUNDDOWN(UNITS_1BR/CLOSINGS_SPAN_M,0)+IF(BO2-FIRST_CLOSING_M+1&lt;=UNITS_1BR-ROUNDDOWN(UNITS_1BR/CLOSINGS_SPAN_M,0)*CLOSINGS_SPAN_M,1,0),0)</f>
        <v/>
      </c>
      <c r="BP5" s="10">
        <f>IF(AND(BP2&gt;=FIRST_CLOSING_M,BP2&lt;FIRST_CLOSING_M+CLOSINGS_SPAN_M),ROUNDDOWN(UNITS_1BR/CLOSINGS_SPAN_M,0)+IF(BP2-FIRST_CLOSING_M+1&lt;=UNITS_1BR-ROUNDDOWN(UNITS_1BR/CLOSINGS_SPAN_M,0)*CLOSINGS_SPAN_M,1,0),0)</f>
        <v/>
      </c>
      <c r="BQ5" s="10">
        <f>IF(AND(BQ2&gt;=FIRST_CLOSING_M,BQ2&lt;FIRST_CLOSING_M+CLOSINGS_SPAN_M),ROUNDDOWN(UNITS_1BR/CLOSINGS_SPAN_M,0)+IF(BQ2-FIRST_CLOSING_M+1&lt;=UNITS_1BR-ROUNDDOWN(UNITS_1BR/CLOSINGS_SPAN_M,0)*CLOSINGS_SPAN_M,1,0),0)</f>
        <v/>
      </c>
      <c r="BR5" s="10">
        <f>IF(AND(BR2&gt;=FIRST_CLOSING_M,BR2&lt;FIRST_CLOSING_M+CLOSINGS_SPAN_M),ROUNDDOWN(UNITS_1BR/CLOSINGS_SPAN_M,0)+IF(BR2-FIRST_CLOSING_M+1&lt;=UNITS_1BR-ROUNDDOWN(UNITS_1BR/CLOSINGS_SPAN_M,0)*CLOSINGS_SPAN_M,1,0),0)</f>
        <v/>
      </c>
      <c r="BS5" s="10">
        <f>IF(AND(BS2&gt;=FIRST_CLOSING_M,BS2&lt;FIRST_CLOSING_M+CLOSINGS_SPAN_M),ROUNDDOWN(UNITS_1BR/CLOSINGS_SPAN_M,0)+IF(BS2-FIRST_CLOSING_M+1&lt;=UNITS_1BR-ROUNDDOWN(UNITS_1BR/CLOSINGS_SPAN_M,0)*CLOSINGS_SPAN_M,1,0),0)</f>
        <v/>
      </c>
      <c r="BT5" s="10">
        <f>IF(AND(BT2&gt;=FIRST_CLOSING_M,BT2&lt;FIRST_CLOSING_M+CLOSINGS_SPAN_M),ROUNDDOWN(UNITS_1BR/CLOSINGS_SPAN_M,0)+IF(BT2-FIRST_CLOSING_M+1&lt;=UNITS_1BR-ROUNDDOWN(UNITS_1BR/CLOSINGS_SPAN_M,0)*CLOSINGS_SPAN_M,1,0),0)</f>
        <v/>
      </c>
      <c r="BU5" s="10">
        <f>IF(AND(BU2&gt;=FIRST_CLOSING_M,BU2&lt;FIRST_CLOSING_M+CLOSINGS_SPAN_M),ROUNDDOWN(UNITS_1BR/CLOSINGS_SPAN_M,0)+IF(BU2-FIRST_CLOSING_M+1&lt;=UNITS_1BR-ROUNDDOWN(UNITS_1BR/CLOSINGS_SPAN_M,0)*CLOSINGS_SPAN_M,1,0),0)</f>
        <v/>
      </c>
      <c r="BV5" s="10">
        <f>IF(AND(BV2&gt;=FIRST_CLOSING_M,BV2&lt;FIRST_CLOSING_M+CLOSINGS_SPAN_M),ROUNDDOWN(UNITS_1BR/CLOSINGS_SPAN_M,0)+IF(BV2-FIRST_CLOSING_M+1&lt;=UNITS_1BR-ROUNDDOWN(UNITS_1BR/CLOSINGS_SPAN_M,0)*CLOSINGS_SPAN_M,1,0),0)</f>
        <v/>
      </c>
      <c r="BW5" s="10">
        <f>IF(AND(BW2&gt;=FIRST_CLOSING_M,BW2&lt;FIRST_CLOSING_M+CLOSINGS_SPAN_M),ROUNDDOWN(UNITS_1BR/CLOSINGS_SPAN_M,0)+IF(BW2-FIRST_CLOSING_M+1&lt;=UNITS_1BR-ROUNDDOWN(UNITS_1BR/CLOSINGS_SPAN_M,0)*CLOSINGS_SPAN_M,1,0),0)</f>
        <v/>
      </c>
      <c r="BX5" s="10">
        <f>IF(AND(BX2&gt;=FIRST_CLOSING_M,BX2&lt;FIRST_CLOSING_M+CLOSINGS_SPAN_M),ROUNDDOWN(UNITS_1BR/CLOSINGS_SPAN_M,0)+IF(BX2-FIRST_CLOSING_M+1&lt;=UNITS_1BR-ROUNDDOWN(UNITS_1BR/CLOSINGS_SPAN_M,0)*CLOSINGS_SPAN_M,1,0),0)</f>
        <v/>
      </c>
      <c r="BY5" s="10">
        <f>IF(AND(BY2&gt;=FIRST_CLOSING_M,BY2&lt;FIRST_CLOSING_M+CLOSINGS_SPAN_M),ROUNDDOWN(UNITS_1BR/CLOSINGS_SPAN_M,0)+IF(BY2-FIRST_CLOSING_M+1&lt;=UNITS_1BR-ROUNDDOWN(UNITS_1BR/CLOSINGS_SPAN_M,0)*CLOSINGS_SPAN_M,1,0),0)</f>
        <v/>
      </c>
      <c r="BZ5" s="10">
        <f>IF(AND(BZ2&gt;=FIRST_CLOSING_M,BZ2&lt;FIRST_CLOSING_M+CLOSINGS_SPAN_M),ROUNDDOWN(UNITS_1BR/CLOSINGS_SPAN_M,0)+IF(BZ2-FIRST_CLOSING_M+1&lt;=UNITS_1BR-ROUNDDOWN(UNITS_1BR/CLOSINGS_SPAN_M,0)*CLOSINGS_SPAN_M,1,0),0)</f>
        <v/>
      </c>
      <c r="CA5" s="10">
        <f>IF(AND(CA2&gt;=FIRST_CLOSING_M,CA2&lt;FIRST_CLOSING_M+CLOSINGS_SPAN_M),ROUNDDOWN(UNITS_1BR/CLOSINGS_SPAN_M,0)+IF(CA2-FIRST_CLOSING_M+1&lt;=UNITS_1BR-ROUNDDOWN(UNITS_1BR/CLOSINGS_SPAN_M,0)*CLOSINGS_SPAN_M,1,0),0)</f>
        <v/>
      </c>
      <c r="CB5" s="10">
        <f>IF(AND(CB2&gt;=FIRST_CLOSING_M,CB2&lt;FIRST_CLOSING_M+CLOSINGS_SPAN_M),ROUNDDOWN(UNITS_1BR/CLOSINGS_SPAN_M,0)+IF(CB2-FIRST_CLOSING_M+1&lt;=UNITS_1BR-ROUNDDOWN(UNITS_1BR/CLOSINGS_SPAN_M,0)*CLOSINGS_SPAN_M,1,0),0)</f>
        <v/>
      </c>
      <c r="CC5" s="10">
        <f>IF(AND(CC2&gt;=FIRST_CLOSING_M,CC2&lt;FIRST_CLOSING_M+CLOSINGS_SPAN_M),ROUNDDOWN(UNITS_1BR/CLOSINGS_SPAN_M,0)+IF(CC2-FIRST_CLOSING_M+1&lt;=UNITS_1BR-ROUNDDOWN(UNITS_1BR/CLOSINGS_SPAN_M,0)*CLOSINGS_SPAN_M,1,0),0)</f>
        <v/>
      </c>
      <c r="CD5" s="10">
        <f>IF(AND(CD2&gt;=FIRST_CLOSING_M,CD2&lt;FIRST_CLOSING_M+CLOSINGS_SPAN_M),ROUNDDOWN(UNITS_1BR/CLOSINGS_SPAN_M,0)+IF(CD2-FIRST_CLOSING_M+1&lt;=UNITS_1BR-ROUNDDOWN(UNITS_1BR/CLOSINGS_SPAN_M,0)*CLOSINGS_SPAN_M,1,0),0)</f>
        <v/>
      </c>
      <c r="CE5" s="10">
        <f>IF(AND(CE2&gt;=FIRST_CLOSING_M,CE2&lt;FIRST_CLOSING_M+CLOSINGS_SPAN_M),ROUNDDOWN(UNITS_1BR/CLOSINGS_SPAN_M,0)+IF(CE2-FIRST_CLOSING_M+1&lt;=UNITS_1BR-ROUNDDOWN(UNITS_1BR/CLOSINGS_SPAN_M,0)*CLOSINGS_SPAN_M,1,0),0)</f>
        <v/>
      </c>
      <c r="CF5" s="10">
        <f>IF(AND(CF2&gt;=FIRST_CLOSING_M,CF2&lt;FIRST_CLOSING_M+CLOSINGS_SPAN_M),ROUNDDOWN(UNITS_1BR/CLOSINGS_SPAN_M,0)+IF(CF2-FIRST_CLOSING_M+1&lt;=UNITS_1BR-ROUNDDOWN(UNITS_1BR/CLOSINGS_SPAN_M,0)*CLOSINGS_SPAN_M,1,0),0)</f>
        <v/>
      </c>
      <c r="CG5" s="10">
        <f>IF(AND(CG2&gt;=FIRST_CLOSING_M,CG2&lt;FIRST_CLOSING_M+CLOSINGS_SPAN_M),ROUNDDOWN(UNITS_1BR/CLOSINGS_SPAN_M,0)+IF(CG2-FIRST_CLOSING_M+1&lt;=UNITS_1BR-ROUNDDOWN(UNITS_1BR/CLOSINGS_SPAN_M,0)*CLOSINGS_SPAN_M,1,0),0)</f>
        <v/>
      </c>
      <c r="CH5" s="10">
        <f>IF(AND(CH2&gt;=FIRST_CLOSING_M,CH2&lt;FIRST_CLOSING_M+CLOSINGS_SPAN_M),ROUNDDOWN(UNITS_1BR/CLOSINGS_SPAN_M,0)+IF(CH2-FIRST_CLOSING_M+1&lt;=UNITS_1BR-ROUNDDOWN(UNITS_1BR/CLOSINGS_SPAN_M,0)*CLOSINGS_SPAN_M,1,0),0)</f>
        <v/>
      </c>
    </row>
    <row r="6">
      <c r="A6" s="3" t="inlineStr">
        <is>
          <t>Two-bedroom closings</t>
        </is>
      </c>
      <c r="B6" s="4" t="inlineStr">
        <is>
          <t>units</t>
        </is>
      </c>
      <c r="C6" s="10">
        <f>IF(AND(C2&gt;=FIRST_CLOSING_M,C2&lt;FIRST_CLOSING_M+CLOSINGS_SPAN_M),ROUNDDOWN(UNITS_2BR/CLOSINGS_SPAN_M,0)+IF(C2-FIRST_CLOSING_M+1&lt;=UNITS_2BR-ROUNDDOWN(UNITS_2BR/CLOSINGS_SPAN_M,0)*CLOSINGS_SPAN_M,1,0),0)</f>
        <v/>
      </c>
      <c r="D6" s="10">
        <f>IF(AND(D2&gt;=FIRST_CLOSING_M,D2&lt;FIRST_CLOSING_M+CLOSINGS_SPAN_M),ROUNDDOWN(UNITS_2BR/CLOSINGS_SPAN_M,0)+IF(D2-FIRST_CLOSING_M+1&lt;=UNITS_2BR-ROUNDDOWN(UNITS_2BR/CLOSINGS_SPAN_M,0)*CLOSINGS_SPAN_M,1,0),0)</f>
        <v/>
      </c>
      <c r="E6" s="10">
        <f>IF(AND(E2&gt;=FIRST_CLOSING_M,E2&lt;FIRST_CLOSING_M+CLOSINGS_SPAN_M),ROUNDDOWN(UNITS_2BR/CLOSINGS_SPAN_M,0)+IF(E2-FIRST_CLOSING_M+1&lt;=UNITS_2BR-ROUNDDOWN(UNITS_2BR/CLOSINGS_SPAN_M,0)*CLOSINGS_SPAN_M,1,0),0)</f>
        <v/>
      </c>
      <c r="F6" s="10">
        <f>IF(AND(F2&gt;=FIRST_CLOSING_M,F2&lt;FIRST_CLOSING_M+CLOSINGS_SPAN_M),ROUNDDOWN(UNITS_2BR/CLOSINGS_SPAN_M,0)+IF(F2-FIRST_CLOSING_M+1&lt;=UNITS_2BR-ROUNDDOWN(UNITS_2BR/CLOSINGS_SPAN_M,0)*CLOSINGS_SPAN_M,1,0),0)</f>
        <v/>
      </c>
      <c r="G6" s="10">
        <f>IF(AND(G2&gt;=FIRST_CLOSING_M,G2&lt;FIRST_CLOSING_M+CLOSINGS_SPAN_M),ROUNDDOWN(UNITS_2BR/CLOSINGS_SPAN_M,0)+IF(G2-FIRST_CLOSING_M+1&lt;=UNITS_2BR-ROUNDDOWN(UNITS_2BR/CLOSINGS_SPAN_M,0)*CLOSINGS_SPAN_M,1,0),0)</f>
        <v/>
      </c>
      <c r="H6" s="10">
        <f>IF(AND(H2&gt;=FIRST_CLOSING_M,H2&lt;FIRST_CLOSING_M+CLOSINGS_SPAN_M),ROUNDDOWN(UNITS_2BR/CLOSINGS_SPAN_M,0)+IF(H2-FIRST_CLOSING_M+1&lt;=UNITS_2BR-ROUNDDOWN(UNITS_2BR/CLOSINGS_SPAN_M,0)*CLOSINGS_SPAN_M,1,0),0)</f>
        <v/>
      </c>
      <c r="I6" s="10">
        <f>IF(AND(I2&gt;=FIRST_CLOSING_M,I2&lt;FIRST_CLOSING_M+CLOSINGS_SPAN_M),ROUNDDOWN(UNITS_2BR/CLOSINGS_SPAN_M,0)+IF(I2-FIRST_CLOSING_M+1&lt;=UNITS_2BR-ROUNDDOWN(UNITS_2BR/CLOSINGS_SPAN_M,0)*CLOSINGS_SPAN_M,1,0),0)</f>
        <v/>
      </c>
      <c r="J6" s="10">
        <f>IF(AND(J2&gt;=FIRST_CLOSING_M,J2&lt;FIRST_CLOSING_M+CLOSINGS_SPAN_M),ROUNDDOWN(UNITS_2BR/CLOSINGS_SPAN_M,0)+IF(J2-FIRST_CLOSING_M+1&lt;=UNITS_2BR-ROUNDDOWN(UNITS_2BR/CLOSINGS_SPAN_M,0)*CLOSINGS_SPAN_M,1,0),0)</f>
        <v/>
      </c>
      <c r="K6" s="10">
        <f>IF(AND(K2&gt;=FIRST_CLOSING_M,K2&lt;FIRST_CLOSING_M+CLOSINGS_SPAN_M),ROUNDDOWN(UNITS_2BR/CLOSINGS_SPAN_M,0)+IF(K2-FIRST_CLOSING_M+1&lt;=UNITS_2BR-ROUNDDOWN(UNITS_2BR/CLOSINGS_SPAN_M,0)*CLOSINGS_SPAN_M,1,0),0)</f>
        <v/>
      </c>
      <c r="L6" s="10">
        <f>IF(AND(L2&gt;=FIRST_CLOSING_M,L2&lt;FIRST_CLOSING_M+CLOSINGS_SPAN_M),ROUNDDOWN(UNITS_2BR/CLOSINGS_SPAN_M,0)+IF(L2-FIRST_CLOSING_M+1&lt;=UNITS_2BR-ROUNDDOWN(UNITS_2BR/CLOSINGS_SPAN_M,0)*CLOSINGS_SPAN_M,1,0),0)</f>
        <v/>
      </c>
      <c r="M6" s="10">
        <f>IF(AND(M2&gt;=FIRST_CLOSING_M,M2&lt;FIRST_CLOSING_M+CLOSINGS_SPAN_M),ROUNDDOWN(UNITS_2BR/CLOSINGS_SPAN_M,0)+IF(M2-FIRST_CLOSING_M+1&lt;=UNITS_2BR-ROUNDDOWN(UNITS_2BR/CLOSINGS_SPAN_M,0)*CLOSINGS_SPAN_M,1,0),0)</f>
        <v/>
      </c>
      <c r="N6" s="10">
        <f>IF(AND(N2&gt;=FIRST_CLOSING_M,N2&lt;FIRST_CLOSING_M+CLOSINGS_SPAN_M),ROUNDDOWN(UNITS_2BR/CLOSINGS_SPAN_M,0)+IF(N2-FIRST_CLOSING_M+1&lt;=UNITS_2BR-ROUNDDOWN(UNITS_2BR/CLOSINGS_SPAN_M,0)*CLOSINGS_SPAN_M,1,0),0)</f>
        <v/>
      </c>
      <c r="O6" s="10">
        <f>IF(AND(O2&gt;=FIRST_CLOSING_M,O2&lt;FIRST_CLOSING_M+CLOSINGS_SPAN_M),ROUNDDOWN(UNITS_2BR/CLOSINGS_SPAN_M,0)+IF(O2-FIRST_CLOSING_M+1&lt;=UNITS_2BR-ROUNDDOWN(UNITS_2BR/CLOSINGS_SPAN_M,0)*CLOSINGS_SPAN_M,1,0),0)</f>
        <v/>
      </c>
      <c r="P6" s="10">
        <f>IF(AND(P2&gt;=FIRST_CLOSING_M,P2&lt;FIRST_CLOSING_M+CLOSINGS_SPAN_M),ROUNDDOWN(UNITS_2BR/CLOSINGS_SPAN_M,0)+IF(P2-FIRST_CLOSING_M+1&lt;=UNITS_2BR-ROUNDDOWN(UNITS_2BR/CLOSINGS_SPAN_M,0)*CLOSINGS_SPAN_M,1,0),0)</f>
        <v/>
      </c>
      <c r="Q6" s="10">
        <f>IF(AND(Q2&gt;=FIRST_CLOSING_M,Q2&lt;FIRST_CLOSING_M+CLOSINGS_SPAN_M),ROUNDDOWN(UNITS_2BR/CLOSINGS_SPAN_M,0)+IF(Q2-FIRST_CLOSING_M+1&lt;=UNITS_2BR-ROUNDDOWN(UNITS_2BR/CLOSINGS_SPAN_M,0)*CLOSINGS_SPAN_M,1,0),0)</f>
        <v/>
      </c>
      <c r="R6" s="10">
        <f>IF(AND(R2&gt;=FIRST_CLOSING_M,R2&lt;FIRST_CLOSING_M+CLOSINGS_SPAN_M),ROUNDDOWN(UNITS_2BR/CLOSINGS_SPAN_M,0)+IF(R2-FIRST_CLOSING_M+1&lt;=UNITS_2BR-ROUNDDOWN(UNITS_2BR/CLOSINGS_SPAN_M,0)*CLOSINGS_SPAN_M,1,0),0)</f>
        <v/>
      </c>
      <c r="S6" s="10">
        <f>IF(AND(S2&gt;=FIRST_CLOSING_M,S2&lt;FIRST_CLOSING_M+CLOSINGS_SPAN_M),ROUNDDOWN(UNITS_2BR/CLOSINGS_SPAN_M,0)+IF(S2-FIRST_CLOSING_M+1&lt;=UNITS_2BR-ROUNDDOWN(UNITS_2BR/CLOSINGS_SPAN_M,0)*CLOSINGS_SPAN_M,1,0),0)</f>
        <v/>
      </c>
      <c r="T6" s="10">
        <f>IF(AND(T2&gt;=FIRST_CLOSING_M,T2&lt;FIRST_CLOSING_M+CLOSINGS_SPAN_M),ROUNDDOWN(UNITS_2BR/CLOSINGS_SPAN_M,0)+IF(T2-FIRST_CLOSING_M+1&lt;=UNITS_2BR-ROUNDDOWN(UNITS_2BR/CLOSINGS_SPAN_M,0)*CLOSINGS_SPAN_M,1,0),0)</f>
        <v/>
      </c>
      <c r="U6" s="10">
        <f>IF(AND(U2&gt;=FIRST_CLOSING_M,U2&lt;FIRST_CLOSING_M+CLOSINGS_SPAN_M),ROUNDDOWN(UNITS_2BR/CLOSINGS_SPAN_M,0)+IF(U2-FIRST_CLOSING_M+1&lt;=UNITS_2BR-ROUNDDOWN(UNITS_2BR/CLOSINGS_SPAN_M,0)*CLOSINGS_SPAN_M,1,0),0)</f>
        <v/>
      </c>
      <c r="V6" s="10">
        <f>IF(AND(V2&gt;=FIRST_CLOSING_M,V2&lt;FIRST_CLOSING_M+CLOSINGS_SPAN_M),ROUNDDOWN(UNITS_2BR/CLOSINGS_SPAN_M,0)+IF(V2-FIRST_CLOSING_M+1&lt;=UNITS_2BR-ROUNDDOWN(UNITS_2BR/CLOSINGS_SPAN_M,0)*CLOSINGS_SPAN_M,1,0),0)</f>
        <v/>
      </c>
      <c r="W6" s="10">
        <f>IF(AND(W2&gt;=FIRST_CLOSING_M,W2&lt;FIRST_CLOSING_M+CLOSINGS_SPAN_M),ROUNDDOWN(UNITS_2BR/CLOSINGS_SPAN_M,0)+IF(W2-FIRST_CLOSING_M+1&lt;=UNITS_2BR-ROUNDDOWN(UNITS_2BR/CLOSINGS_SPAN_M,0)*CLOSINGS_SPAN_M,1,0),0)</f>
        <v/>
      </c>
      <c r="X6" s="10">
        <f>IF(AND(X2&gt;=FIRST_CLOSING_M,X2&lt;FIRST_CLOSING_M+CLOSINGS_SPAN_M),ROUNDDOWN(UNITS_2BR/CLOSINGS_SPAN_M,0)+IF(X2-FIRST_CLOSING_M+1&lt;=UNITS_2BR-ROUNDDOWN(UNITS_2BR/CLOSINGS_SPAN_M,0)*CLOSINGS_SPAN_M,1,0),0)</f>
        <v/>
      </c>
      <c r="Y6" s="10">
        <f>IF(AND(Y2&gt;=FIRST_CLOSING_M,Y2&lt;FIRST_CLOSING_M+CLOSINGS_SPAN_M),ROUNDDOWN(UNITS_2BR/CLOSINGS_SPAN_M,0)+IF(Y2-FIRST_CLOSING_M+1&lt;=UNITS_2BR-ROUNDDOWN(UNITS_2BR/CLOSINGS_SPAN_M,0)*CLOSINGS_SPAN_M,1,0),0)</f>
        <v/>
      </c>
      <c r="Z6" s="10">
        <f>IF(AND(Z2&gt;=FIRST_CLOSING_M,Z2&lt;FIRST_CLOSING_M+CLOSINGS_SPAN_M),ROUNDDOWN(UNITS_2BR/CLOSINGS_SPAN_M,0)+IF(Z2-FIRST_CLOSING_M+1&lt;=UNITS_2BR-ROUNDDOWN(UNITS_2BR/CLOSINGS_SPAN_M,0)*CLOSINGS_SPAN_M,1,0),0)</f>
        <v/>
      </c>
      <c r="AA6" s="10">
        <f>IF(AND(AA2&gt;=FIRST_CLOSING_M,AA2&lt;FIRST_CLOSING_M+CLOSINGS_SPAN_M),ROUNDDOWN(UNITS_2BR/CLOSINGS_SPAN_M,0)+IF(AA2-FIRST_CLOSING_M+1&lt;=UNITS_2BR-ROUNDDOWN(UNITS_2BR/CLOSINGS_SPAN_M,0)*CLOSINGS_SPAN_M,1,0),0)</f>
        <v/>
      </c>
      <c r="AB6" s="10">
        <f>IF(AND(AB2&gt;=FIRST_CLOSING_M,AB2&lt;FIRST_CLOSING_M+CLOSINGS_SPAN_M),ROUNDDOWN(UNITS_2BR/CLOSINGS_SPAN_M,0)+IF(AB2-FIRST_CLOSING_M+1&lt;=UNITS_2BR-ROUNDDOWN(UNITS_2BR/CLOSINGS_SPAN_M,0)*CLOSINGS_SPAN_M,1,0),0)</f>
        <v/>
      </c>
      <c r="AC6" s="10">
        <f>IF(AND(AC2&gt;=FIRST_CLOSING_M,AC2&lt;FIRST_CLOSING_M+CLOSINGS_SPAN_M),ROUNDDOWN(UNITS_2BR/CLOSINGS_SPAN_M,0)+IF(AC2-FIRST_CLOSING_M+1&lt;=UNITS_2BR-ROUNDDOWN(UNITS_2BR/CLOSINGS_SPAN_M,0)*CLOSINGS_SPAN_M,1,0),0)</f>
        <v/>
      </c>
      <c r="AD6" s="10">
        <f>IF(AND(AD2&gt;=FIRST_CLOSING_M,AD2&lt;FIRST_CLOSING_M+CLOSINGS_SPAN_M),ROUNDDOWN(UNITS_2BR/CLOSINGS_SPAN_M,0)+IF(AD2-FIRST_CLOSING_M+1&lt;=UNITS_2BR-ROUNDDOWN(UNITS_2BR/CLOSINGS_SPAN_M,0)*CLOSINGS_SPAN_M,1,0),0)</f>
        <v/>
      </c>
      <c r="AE6" s="10">
        <f>IF(AND(AE2&gt;=FIRST_CLOSING_M,AE2&lt;FIRST_CLOSING_M+CLOSINGS_SPAN_M),ROUNDDOWN(UNITS_2BR/CLOSINGS_SPAN_M,0)+IF(AE2-FIRST_CLOSING_M+1&lt;=UNITS_2BR-ROUNDDOWN(UNITS_2BR/CLOSINGS_SPAN_M,0)*CLOSINGS_SPAN_M,1,0),0)</f>
        <v/>
      </c>
      <c r="AF6" s="10">
        <f>IF(AND(AF2&gt;=FIRST_CLOSING_M,AF2&lt;FIRST_CLOSING_M+CLOSINGS_SPAN_M),ROUNDDOWN(UNITS_2BR/CLOSINGS_SPAN_M,0)+IF(AF2-FIRST_CLOSING_M+1&lt;=UNITS_2BR-ROUNDDOWN(UNITS_2BR/CLOSINGS_SPAN_M,0)*CLOSINGS_SPAN_M,1,0),0)</f>
        <v/>
      </c>
      <c r="AG6" s="10">
        <f>IF(AND(AG2&gt;=FIRST_CLOSING_M,AG2&lt;FIRST_CLOSING_M+CLOSINGS_SPAN_M),ROUNDDOWN(UNITS_2BR/CLOSINGS_SPAN_M,0)+IF(AG2-FIRST_CLOSING_M+1&lt;=UNITS_2BR-ROUNDDOWN(UNITS_2BR/CLOSINGS_SPAN_M,0)*CLOSINGS_SPAN_M,1,0),0)</f>
        <v/>
      </c>
      <c r="AH6" s="10">
        <f>IF(AND(AH2&gt;=FIRST_CLOSING_M,AH2&lt;FIRST_CLOSING_M+CLOSINGS_SPAN_M),ROUNDDOWN(UNITS_2BR/CLOSINGS_SPAN_M,0)+IF(AH2-FIRST_CLOSING_M+1&lt;=UNITS_2BR-ROUNDDOWN(UNITS_2BR/CLOSINGS_SPAN_M,0)*CLOSINGS_SPAN_M,1,0),0)</f>
        <v/>
      </c>
      <c r="AI6" s="10">
        <f>IF(AND(AI2&gt;=FIRST_CLOSING_M,AI2&lt;FIRST_CLOSING_M+CLOSINGS_SPAN_M),ROUNDDOWN(UNITS_2BR/CLOSINGS_SPAN_M,0)+IF(AI2-FIRST_CLOSING_M+1&lt;=UNITS_2BR-ROUNDDOWN(UNITS_2BR/CLOSINGS_SPAN_M,0)*CLOSINGS_SPAN_M,1,0),0)</f>
        <v/>
      </c>
      <c r="AJ6" s="10">
        <f>IF(AND(AJ2&gt;=FIRST_CLOSING_M,AJ2&lt;FIRST_CLOSING_M+CLOSINGS_SPAN_M),ROUNDDOWN(UNITS_2BR/CLOSINGS_SPAN_M,0)+IF(AJ2-FIRST_CLOSING_M+1&lt;=UNITS_2BR-ROUNDDOWN(UNITS_2BR/CLOSINGS_SPAN_M,0)*CLOSINGS_SPAN_M,1,0),0)</f>
        <v/>
      </c>
      <c r="AK6" s="10">
        <f>IF(AND(AK2&gt;=FIRST_CLOSING_M,AK2&lt;FIRST_CLOSING_M+CLOSINGS_SPAN_M),ROUNDDOWN(UNITS_2BR/CLOSINGS_SPAN_M,0)+IF(AK2-FIRST_CLOSING_M+1&lt;=UNITS_2BR-ROUNDDOWN(UNITS_2BR/CLOSINGS_SPAN_M,0)*CLOSINGS_SPAN_M,1,0),0)</f>
        <v/>
      </c>
      <c r="AL6" s="10">
        <f>IF(AND(AL2&gt;=FIRST_CLOSING_M,AL2&lt;FIRST_CLOSING_M+CLOSINGS_SPAN_M),ROUNDDOWN(UNITS_2BR/CLOSINGS_SPAN_M,0)+IF(AL2-FIRST_CLOSING_M+1&lt;=UNITS_2BR-ROUNDDOWN(UNITS_2BR/CLOSINGS_SPAN_M,0)*CLOSINGS_SPAN_M,1,0),0)</f>
        <v/>
      </c>
      <c r="AM6" s="10">
        <f>IF(AND(AM2&gt;=FIRST_CLOSING_M,AM2&lt;FIRST_CLOSING_M+CLOSINGS_SPAN_M),ROUNDDOWN(UNITS_2BR/CLOSINGS_SPAN_M,0)+IF(AM2-FIRST_CLOSING_M+1&lt;=UNITS_2BR-ROUNDDOWN(UNITS_2BR/CLOSINGS_SPAN_M,0)*CLOSINGS_SPAN_M,1,0),0)</f>
        <v/>
      </c>
      <c r="AN6" s="10">
        <f>IF(AND(AN2&gt;=FIRST_CLOSING_M,AN2&lt;FIRST_CLOSING_M+CLOSINGS_SPAN_M),ROUNDDOWN(UNITS_2BR/CLOSINGS_SPAN_M,0)+IF(AN2-FIRST_CLOSING_M+1&lt;=UNITS_2BR-ROUNDDOWN(UNITS_2BR/CLOSINGS_SPAN_M,0)*CLOSINGS_SPAN_M,1,0),0)</f>
        <v/>
      </c>
      <c r="AO6" s="10">
        <f>IF(AND(AO2&gt;=FIRST_CLOSING_M,AO2&lt;FIRST_CLOSING_M+CLOSINGS_SPAN_M),ROUNDDOWN(UNITS_2BR/CLOSINGS_SPAN_M,0)+IF(AO2-FIRST_CLOSING_M+1&lt;=UNITS_2BR-ROUNDDOWN(UNITS_2BR/CLOSINGS_SPAN_M,0)*CLOSINGS_SPAN_M,1,0),0)</f>
        <v/>
      </c>
      <c r="AP6" s="10">
        <f>IF(AND(AP2&gt;=FIRST_CLOSING_M,AP2&lt;FIRST_CLOSING_M+CLOSINGS_SPAN_M),ROUNDDOWN(UNITS_2BR/CLOSINGS_SPAN_M,0)+IF(AP2-FIRST_CLOSING_M+1&lt;=UNITS_2BR-ROUNDDOWN(UNITS_2BR/CLOSINGS_SPAN_M,0)*CLOSINGS_SPAN_M,1,0),0)</f>
        <v/>
      </c>
      <c r="AQ6" s="10">
        <f>IF(AND(AQ2&gt;=FIRST_CLOSING_M,AQ2&lt;FIRST_CLOSING_M+CLOSINGS_SPAN_M),ROUNDDOWN(UNITS_2BR/CLOSINGS_SPAN_M,0)+IF(AQ2-FIRST_CLOSING_M+1&lt;=UNITS_2BR-ROUNDDOWN(UNITS_2BR/CLOSINGS_SPAN_M,0)*CLOSINGS_SPAN_M,1,0),0)</f>
        <v/>
      </c>
      <c r="AR6" s="10">
        <f>IF(AND(AR2&gt;=FIRST_CLOSING_M,AR2&lt;FIRST_CLOSING_M+CLOSINGS_SPAN_M),ROUNDDOWN(UNITS_2BR/CLOSINGS_SPAN_M,0)+IF(AR2-FIRST_CLOSING_M+1&lt;=UNITS_2BR-ROUNDDOWN(UNITS_2BR/CLOSINGS_SPAN_M,0)*CLOSINGS_SPAN_M,1,0),0)</f>
        <v/>
      </c>
      <c r="AS6" s="10">
        <f>IF(AND(AS2&gt;=FIRST_CLOSING_M,AS2&lt;FIRST_CLOSING_M+CLOSINGS_SPAN_M),ROUNDDOWN(UNITS_2BR/CLOSINGS_SPAN_M,0)+IF(AS2-FIRST_CLOSING_M+1&lt;=UNITS_2BR-ROUNDDOWN(UNITS_2BR/CLOSINGS_SPAN_M,0)*CLOSINGS_SPAN_M,1,0),0)</f>
        <v/>
      </c>
      <c r="AT6" s="10">
        <f>IF(AND(AT2&gt;=FIRST_CLOSING_M,AT2&lt;FIRST_CLOSING_M+CLOSINGS_SPAN_M),ROUNDDOWN(UNITS_2BR/CLOSINGS_SPAN_M,0)+IF(AT2-FIRST_CLOSING_M+1&lt;=UNITS_2BR-ROUNDDOWN(UNITS_2BR/CLOSINGS_SPAN_M,0)*CLOSINGS_SPAN_M,1,0),0)</f>
        <v/>
      </c>
      <c r="AU6" s="10">
        <f>IF(AND(AU2&gt;=FIRST_CLOSING_M,AU2&lt;FIRST_CLOSING_M+CLOSINGS_SPAN_M),ROUNDDOWN(UNITS_2BR/CLOSINGS_SPAN_M,0)+IF(AU2-FIRST_CLOSING_M+1&lt;=UNITS_2BR-ROUNDDOWN(UNITS_2BR/CLOSINGS_SPAN_M,0)*CLOSINGS_SPAN_M,1,0),0)</f>
        <v/>
      </c>
      <c r="AV6" s="10">
        <f>IF(AND(AV2&gt;=FIRST_CLOSING_M,AV2&lt;FIRST_CLOSING_M+CLOSINGS_SPAN_M),ROUNDDOWN(UNITS_2BR/CLOSINGS_SPAN_M,0)+IF(AV2-FIRST_CLOSING_M+1&lt;=UNITS_2BR-ROUNDDOWN(UNITS_2BR/CLOSINGS_SPAN_M,0)*CLOSINGS_SPAN_M,1,0),0)</f>
        <v/>
      </c>
      <c r="AW6" s="10">
        <f>IF(AND(AW2&gt;=FIRST_CLOSING_M,AW2&lt;FIRST_CLOSING_M+CLOSINGS_SPAN_M),ROUNDDOWN(UNITS_2BR/CLOSINGS_SPAN_M,0)+IF(AW2-FIRST_CLOSING_M+1&lt;=UNITS_2BR-ROUNDDOWN(UNITS_2BR/CLOSINGS_SPAN_M,0)*CLOSINGS_SPAN_M,1,0),0)</f>
        <v/>
      </c>
      <c r="AX6" s="10">
        <f>IF(AND(AX2&gt;=FIRST_CLOSING_M,AX2&lt;FIRST_CLOSING_M+CLOSINGS_SPAN_M),ROUNDDOWN(UNITS_2BR/CLOSINGS_SPAN_M,0)+IF(AX2-FIRST_CLOSING_M+1&lt;=UNITS_2BR-ROUNDDOWN(UNITS_2BR/CLOSINGS_SPAN_M,0)*CLOSINGS_SPAN_M,1,0),0)</f>
        <v/>
      </c>
      <c r="AY6" s="10">
        <f>IF(AND(AY2&gt;=FIRST_CLOSING_M,AY2&lt;FIRST_CLOSING_M+CLOSINGS_SPAN_M),ROUNDDOWN(UNITS_2BR/CLOSINGS_SPAN_M,0)+IF(AY2-FIRST_CLOSING_M+1&lt;=UNITS_2BR-ROUNDDOWN(UNITS_2BR/CLOSINGS_SPAN_M,0)*CLOSINGS_SPAN_M,1,0),0)</f>
        <v/>
      </c>
      <c r="AZ6" s="10">
        <f>IF(AND(AZ2&gt;=FIRST_CLOSING_M,AZ2&lt;FIRST_CLOSING_M+CLOSINGS_SPAN_M),ROUNDDOWN(UNITS_2BR/CLOSINGS_SPAN_M,0)+IF(AZ2-FIRST_CLOSING_M+1&lt;=UNITS_2BR-ROUNDDOWN(UNITS_2BR/CLOSINGS_SPAN_M,0)*CLOSINGS_SPAN_M,1,0),0)</f>
        <v/>
      </c>
      <c r="BA6" s="10">
        <f>IF(AND(BA2&gt;=FIRST_CLOSING_M,BA2&lt;FIRST_CLOSING_M+CLOSINGS_SPAN_M),ROUNDDOWN(UNITS_2BR/CLOSINGS_SPAN_M,0)+IF(BA2-FIRST_CLOSING_M+1&lt;=UNITS_2BR-ROUNDDOWN(UNITS_2BR/CLOSINGS_SPAN_M,0)*CLOSINGS_SPAN_M,1,0),0)</f>
        <v/>
      </c>
      <c r="BB6" s="10">
        <f>IF(AND(BB2&gt;=FIRST_CLOSING_M,BB2&lt;FIRST_CLOSING_M+CLOSINGS_SPAN_M),ROUNDDOWN(UNITS_2BR/CLOSINGS_SPAN_M,0)+IF(BB2-FIRST_CLOSING_M+1&lt;=UNITS_2BR-ROUNDDOWN(UNITS_2BR/CLOSINGS_SPAN_M,0)*CLOSINGS_SPAN_M,1,0),0)</f>
        <v/>
      </c>
      <c r="BC6" s="10">
        <f>IF(AND(BC2&gt;=FIRST_CLOSING_M,BC2&lt;FIRST_CLOSING_M+CLOSINGS_SPAN_M),ROUNDDOWN(UNITS_2BR/CLOSINGS_SPAN_M,0)+IF(BC2-FIRST_CLOSING_M+1&lt;=UNITS_2BR-ROUNDDOWN(UNITS_2BR/CLOSINGS_SPAN_M,0)*CLOSINGS_SPAN_M,1,0),0)</f>
        <v/>
      </c>
      <c r="BD6" s="10">
        <f>IF(AND(BD2&gt;=FIRST_CLOSING_M,BD2&lt;FIRST_CLOSING_M+CLOSINGS_SPAN_M),ROUNDDOWN(UNITS_2BR/CLOSINGS_SPAN_M,0)+IF(BD2-FIRST_CLOSING_M+1&lt;=UNITS_2BR-ROUNDDOWN(UNITS_2BR/CLOSINGS_SPAN_M,0)*CLOSINGS_SPAN_M,1,0),0)</f>
        <v/>
      </c>
      <c r="BE6" s="10">
        <f>IF(AND(BE2&gt;=FIRST_CLOSING_M,BE2&lt;FIRST_CLOSING_M+CLOSINGS_SPAN_M),ROUNDDOWN(UNITS_2BR/CLOSINGS_SPAN_M,0)+IF(BE2-FIRST_CLOSING_M+1&lt;=UNITS_2BR-ROUNDDOWN(UNITS_2BR/CLOSINGS_SPAN_M,0)*CLOSINGS_SPAN_M,1,0),0)</f>
        <v/>
      </c>
      <c r="BF6" s="10">
        <f>IF(AND(BF2&gt;=FIRST_CLOSING_M,BF2&lt;FIRST_CLOSING_M+CLOSINGS_SPAN_M),ROUNDDOWN(UNITS_2BR/CLOSINGS_SPAN_M,0)+IF(BF2-FIRST_CLOSING_M+1&lt;=UNITS_2BR-ROUNDDOWN(UNITS_2BR/CLOSINGS_SPAN_M,0)*CLOSINGS_SPAN_M,1,0),0)</f>
        <v/>
      </c>
      <c r="BG6" s="10">
        <f>IF(AND(BG2&gt;=FIRST_CLOSING_M,BG2&lt;FIRST_CLOSING_M+CLOSINGS_SPAN_M),ROUNDDOWN(UNITS_2BR/CLOSINGS_SPAN_M,0)+IF(BG2-FIRST_CLOSING_M+1&lt;=UNITS_2BR-ROUNDDOWN(UNITS_2BR/CLOSINGS_SPAN_M,0)*CLOSINGS_SPAN_M,1,0),0)</f>
        <v/>
      </c>
      <c r="BH6" s="10">
        <f>IF(AND(BH2&gt;=FIRST_CLOSING_M,BH2&lt;FIRST_CLOSING_M+CLOSINGS_SPAN_M),ROUNDDOWN(UNITS_2BR/CLOSINGS_SPAN_M,0)+IF(BH2-FIRST_CLOSING_M+1&lt;=UNITS_2BR-ROUNDDOWN(UNITS_2BR/CLOSINGS_SPAN_M,0)*CLOSINGS_SPAN_M,1,0),0)</f>
        <v/>
      </c>
      <c r="BI6" s="10">
        <f>IF(AND(BI2&gt;=FIRST_CLOSING_M,BI2&lt;FIRST_CLOSING_M+CLOSINGS_SPAN_M),ROUNDDOWN(UNITS_2BR/CLOSINGS_SPAN_M,0)+IF(BI2-FIRST_CLOSING_M+1&lt;=UNITS_2BR-ROUNDDOWN(UNITS_2BR/CLOSINGS_SPAN_M,0)*CLOSINGS_SPAN_M,1,0),0)</f>
        <v/>
      </c>
      <c r="BJ6" s="10">
        <f>IF(AND(BJ2&gt;=FIRST_CLOSING_M,BJ2&lt;FIRST_CLOSING_M+CLOSINGS_SPAN_M),ROUNDDOWN(UNITS_2BR/CLOSINGS_SPAN_M,0)+IF(BJ2-FIRST_CLOSING_M+1&lt;=UNITS_2BR-ROUNDDOWN(UNITS_2BR/CLOSINGS_SPAN_M,0)*CLOSINGS_SPAN_M,1,0),0)</f>
        <v/>
      </c>
      <c r="BK6" s="10">
        <f>IF(AND(BK2&gt;=FIRST_CLOSING_M,BK2&lt;FIRST_CLOSING_M+CLOSINGS_SPAN_M),ROUNDDOWN(UNITS_2BR/CLOSINGS_SPAN_M,0)+IF(BK2-FIRST_CLOSING_M+1&lt;=UNITS_2BR-ROUNDDOWN(UNITS_2BR/CLOSINGS_SPAN_M,0)*CLOSINGS_SPAN_M,1,0),0)</f>
        <v/>
      </c>
      <c r="BL6" s="10">
        <f>IF(AND(BL2&gt;=FIRST_CLOSING_M,BL2&lt;FIRST_CLOSING_M+CLOSINGS_SPAN_M),ROUNDDOWN(UNITS_2BR/CLOSINGS_SPAN_M,0)+IF(BL2-FIRST_CLOSING_M+1&lt;=UNITS_2BR-ROUNDDOWN(UNITS_2BR/CLOSINGS_SPAN_M,0)*CLOSINGS_SPAN_M,1,0),0)</f>
        <v/>
      </c>
      <c r="BM6" s="10">
        <f>IF(AND(BM2&gt;=FIRST_CLOSING_M,BM2&lt;FIRST_CLOSING_M+CLOSINGS_SPAN_M),ROUNDDOWN(UNITS_2BR/CLOSINGS_SPAN_M,0)+IF(BM2-FIRST_CLOSING_M+1&lt;=UNITS_2BR-ROUNDDOWN(UNITS_2BR/CLOSINGS_SPAN_M,0)*CLOSINGS_SPAN_M,1,0),0)</f>
        <v/>
      </c>
      <c r="BN6" s="10">
        <f>IF(AND(BN2&gt;=FIRST_CLOSING_M,BN2&lt;FIRST_CLOSING_M+CLOSINGS_SPAN_M),ROUNDDOWN(UNITS_2BR/CLOSINGS_SPAN_M,0)+IF(BN2-FIRST_CLOSING_M+1&lt;=UNITS_2BR-ROUNDDOWN(UNITS_2BR/CLOSINGS_SPAN_M,0)*CLOSINGS_SPAN_M,1,0),0)</f>
        <v/>
      </c>
      <c r="BO6" s="10">
        <f>IF(AND(BO2&gt;=FIRST_CLOSING_M,BO2&lt;FIRST_CLOSING_M+CLOSINGS_SPAN_M),ROUNDDOWN(UNITS_2BR/CLOSINGS_SPAN_M,0)+IF(BO2-FIRST_CLOSING_M+1&lt;=UNITS_2BR-ROUNDDOWN(UNITS_2BR/CLOSINGS_SPAN_M,0)*CLOSINGS_SPAN_M,1,0),0)</f>
        <v/>
      </c>
      <c r="BP6" s="10">
        <f>IF(AND(BP2&gt;=FIRST_CLOSING_M,BP2&lt;FIRST_CLOSING_M+CLOSINGS_SPAN_M),ROUNDDOWN(UNITS_2BR/CLOSINGS_SPAN_M,0)+IF(BP2-FIRST_CLOSING_M+1&lt;=UNITS_2BR-ROUNDDOWN(UNITS_2BR/CLOSINGS_SPAN_M,0)*CLOSINGS_SPAN_M,1,0),0)</f>
        <v/>
      </c>
      <c r="BQ6" s="10">
        <f>IF(AND(BQ2&gt;=FIRST_CLOSING_M,BQ2&lt;FIRST_CLOSING_M+CLOSINGS_SPAN_M),ROUNDDOWN(UNITS_2BR/CLOSINGS_SPAN_M,0)+IF(BQ2-FIRST_CLOSING_M+1&lt;=UNITS_2BR-ROUNDDOWN(UNITS_2BR/CLOSINGS_SPAN_M,0)*CLOSINGS_SPAN_M,1,0),0)</f>
        <v/>
      </c>
      <c r="BR6" s="10">
        <f>IF(AND(BR2&gt;=FIRST_CLOSING_M,BR2&lt;FIRST_CLOSING_M+CLOSINGS_SPAN_M),ROUNDDOWN(UNITS_2BR/CLOSINGS_SPAN_M,0)+IF(BR2-FIRST_CLOSING_M+1&lt;=UNITS_2BR-ROUNDDOWN(UNITS_2BR/CLOSINGS_SPAN_M,0)*CLOSINGS_SPAN_M,1,0),0)</f>
        <v/>
      </c>
      <c r="BS6" s="10">
        <f>IF(AND(BS2&gt;=FIRST_CLOSING_M,BS2&lt;FIRST_CLOSING_M+CLOSINGS_SPAN_M),ROUNDDOWN(UNITS_2BR/CLOSINGS_SPAN_M,0)+IF(BS2-FIRST_CLOSING_M+1&lt;=UNITS_2BR-ROUNDDOWN(UNITS_2BR/CLOSINGS_SPAN_M,0)*CLOSINGS_SPAN_M,1,0),0)</f>
        <v/>
      </c>
      <c r="BT6" s="10">
        <f>IF(AND(BT2&gt;=FIRST_CLOSING_M,BT2&lt;FIRST_CLOSING_M+CLOSINGS_SPAN_M),ROUNDDOWN(UNITS_2BR/CLOSINGS_SPAN_M,0)+IF(BT2-FIRST_CLOSING_M+1&lt;=UNITS_2BR-ROUNDDOWN(UNITS_2BR/CLOSINGS_SPAN_M,0)*CLOSINGS_SPAN_M,1,0),0)</f>
        <v/>
      </c>
      <c r="BU6" s="10">
        <f>IF(AND(BU2&gt;=FIRST_CLOSING_M,BU2&lt;FIRST_CLOSING_M+CLOSINGS_SPAN_M),ROUNDDOWN(UNITS_2BR/CLOSINGS_SPAN_M,0)+IF(BU2-FIRST_CLOSING_M+1&lt;=UNITS_2BR-ROUNDDOWN(UNITS_2BR/CLOSINGS_SPAN_M,0)*CLOSINGS_SPAN_M,1,0),0)</f>
        <v/>
      </c>
      <c r="BV6" s="10">
        <f>IF(AND(BV2&gt;=FIRST_CLOSING_M,BV2&lt;FIRST_CLOSING_M+CLOSINGS_SPAN_M),ROUNDDOWN(UNITS_2BR/CLOSINGS_SPAN_M,0)+IF(BV2-FIRST_CLOSING_M+1&lt;=UNITS_2BR-ROUNDDOWN(UNITS_2BR/CLOSINGS_SPAN_M,0)*CLOSINGS_SPAN_M,1,0),0)</f>
        <v/>
      </c>
      <c r="BW6" s="10">
        <f>IF(AND(BW2&gt;=FIRST_CLOSING_M,BW2&lt;FIRST_CLOSING_M+CLOSINGS_SPAN_M),ROUNDDOWN(UNITS_2BR/CLOSINGS_SPAN_M,0)+IF(BW2-FIRST_CLOSING_M+1&lt;=UNITS_2BR-ROUNDDOWN(UNITS_2BR/CLOSINGS_SPAN_M,0)*CLOSINGS_SPAN_M,1,0),0)</f>
        <v/>
      </c>
      <c r="BX6" s="10">
        <f>IF(AND(BX2&gt;=FIRST_CLOSING_M,BX2&lt;FIRST_CLOSING_M+CLOSINGS_SPAN_M),ROUNDDOWN(UNITS_2BR/CLOSINGS_SPAN_M,0)+IF(BX2-FIRST_CLOSING_M+1&lt;=UNITS_2BR-ROUNDDOWN(UNITS_2BR/CLOSINGS_SPAN_M,0)*CLOSINGS_SPAN_M,1,0),0)</f>
        <v/>
      </c>
      <c r="BY6" s="10">
        <f>IF(AND(BY2&gt;=FIRST_CLOSING_M,BY2&lt;FIRST_CLOSING_M+CLOSINGS_SPAN_M),ROUNDDOWN(UNITS_2BR/CLOSINGS_SPAN_M,0)+IF(BY2-FIRST_CLOSING_M+1&lt;=UNITS_2BR-ROUNDDOWN(UNITS_2BR/CLOSINGS_SPAN_M,0)*CLOSINGS_SPAN_M,1,0),0)</f>
        <v/>
      </c>
      <c r="BZ6" s="10">
        <f>IF(AND(BZ2&gt;=FIRST_CLOSING_M,BZ2&lt;FIRST_CLOSING_M+CLOSINGS_SPAN_M),ROUNDDOWN(UNITS_2BR/CLOSINGS_SPAN_M,0)+IF(BZ2-FIRST_CLOSING_M+1&lt;=UNITS_2BR-ROUNDDOWN(UNITS_2BR/CLOSINGS_SPAN_M,0)*CLOSINGS_SPAN_M,1,0),0)</f>
        <v/>
      </c>
      <c r="CA6" s="10">
        <f>IF(AND(CA2&gt;=FIRST_CLOSING_M,CA2&lt;FIRST_CLOSING_M+CLOSINGS_SPAN_M),ROUNDDOWN(UNITS_2BR/CLOSINGS_SPAN_M,0)+IF(CA2-FIRST_CLOSING_M+1&lt;=UNITS_2BR-ROUNDDOWN(UNITS_2BR/CLOSINGS_SPAN_M,0)*CLOSINGS_SPAN_M,1,0),0)</f>
        <v/>
      </c>
      <c r="CB6" s="10">
        <f>IF(AND(CB2&gt;=FIRST_CLOSING_M,CB2&lt;FIRST_CLOSING_M+CLOSINGS_SPAN_M),ROUNDDOWN(UNITS_2BR/CLOSINGS_SPAN_M,0)+IF(CB2-FIRST_CLOSING_M+1&lt;=UNITS_2BR-ROUNDDOWN(UNITS_2BR/CLOSINGS_SPAN_M,0)*CLOSINGS_SPAN_M,1,0),0)</f>
        <v/>
      </c>
      <c r="CC6" s="10">
        <f>IF(AND(CC2&gt;=FIRST_CLOSING_M,CC2&lt;FIRST_CLOSING_M+CLOSINGS_SPAN_M),ROUNDDOWN(UNITS_2BR/CLOSINGS_SPAN_M,0)+IF(CC2-FIRST_CLOSING_M+1&lt;=UNITS_2BR-ROUNDDOWN(UNITS_2BR/CLOSINGS_SPAN_M,0)*CLOSINGS_SPAN_M,1,0),0)</f>
        <v/>
      </c>
      <c r="CD6" s="10">
        <f>IF(AND(CD2&gt;=FIRST_CLOSING_M,CD2&lt;FIRST_CLOSING_M+CLOSINGS_SPAN_M),ROUNDDOWN(UNITS_2BR/CLOSINGS_SPAN_M,0)+IF(CD2-FIRST_CLOSING_M+1&lt;=UNITS_2BR-ROUNDDOWN(UNITS_2BR/CLOSINGS_SPAN_M,0)*CLOSINGS_SPAN_M,1,0),0)</f>
        <v/>
      </c>
      <c r="CE6" s="10">
        <f>IF(AND(CE2&gt;=FIRST_CLOSING_M,CE2&lt;FIRST_CLOSING_M+CLOSINGS_SPAN_M),ROUNDDOWN(UNITS_2BR/CLOSINGS_SPAN_M,0)+IF(CE2-FIRST_CLOSING_M+1&lt;=UNITS_2BR-ROUNDDOWN(UNITS_2BR/CLOSINGS_SPAN_M,0)*CLOSINGS_SPAN_M,1,0),0)</f>
        <v/>
      </c>
      <c r="CF6" s="10">
        <f>IF(AND(CF2&gt;=FIRST_CLOSING_M,CF2&lt;FIRST_CLOSING_M+CLOSINGS_SPAN_M),ROUNDDOWN(UNITS_2BR/CLOSINGS_SPAN_M,0)+IF(CF2-FIRST_CLOSING_M+1&lt;=UNITS_2BR-ROUNDDOWN(UNITS_2BR/CLOSINGS_SPAN_M,0)*CLOSINGS_SPAN_M,1,0),0)</f>
        <v/>
      </c>
      <c r="CG6" s="10">
        <f>IF(AND(CG2&gt;=FIRST_CLOSING_M,CG2&lt;FIRST_CLOSING_M+CLOSINGS_SPAN_M),ROUNDDOWN(UNITS_2BR/CLOSINGS_SPAN_M,0)+IF(CG2-FIRST_CLOSING_M+1&lt;=UNITS_2BR-ROUNDDOWN(UNITS_2BR/CLOSINGS_SPAN_M,0)*CLOSINGS_SPAN_M,1,0),0)</f>
        <v/>
      </c>
      <c r="CH6" s="10">
        <f>IF(AND(CH2&gt;=FIRST_CLOSING_M,CH2&lt;FIRST_CLOSING_M+CLOSINGS_SPAN_M),ROUNDDOWN(UNITS_2BR/CLOSINGS_SPAN_M,0)+IF(CH2-FIRST_CLOSING_M+1&lt;=UNITS_2BR-ROUNDDOWN(UNITS_2BR/CLOSINGS_SPAN_M,0)*CLOSINGS_SPAN_M,1,0),0)</f>
        <v/>
      </c>
    </row>
    <row r="7">
      <c r="A7" s="3" t="inlineStr">
        <is>
          <t>Three-bedroom closings</t>
        </is>
      </c>
      <c r="B7" s="4" t="inlineStr">
        <is>
          <t>units</t>
        </is>
      </c>
      <c r="C7" s="10">
        <f>IF(AND(C2&gt;=FIRST_CLOSING_M,C2&lt;FIRST_CLOSING_M+CLOSINGS_SPAN_M),ROUNDDOWN(UNITS_3BR/CLOSINGS_SPAN_M,0)+IF(C2-FIRST_CLOSING_M+1&lt;=UNITS_3BR-ROUNDDOWN(UNITS_3BR/CLOSINGS_SPAN_M,0)*CLOSINGS_SPAN_M,1,0),0)</f>
        <v/>
      </c>
      <c r="D7" s="10">
        <f>IF(AND(D2&gt;=FIRST_CLOSING_M,D2&lt;FIRST_CLOSING_M+CLOSINGS_SPAN_M),ROUNDDOWN(UNITS_3BR/CLOSINGS_SPAN_M,0)+IF(D2-FIRST_CLOSING_M+1&lt;=UNITS_3BR-ROUNDDOWN(UNITS_3BR/CLOSINGS_SPAN_M,0)*CLOSINGS_SPAN_M,1,0),0)</f>
        <v/>
      </c>
      <c r="E7" s="10">
        <f>IF(AND(E2&gt;=FIRST_CLOSING_M,E2&lt;FIRST_CLOSING_M+CLOSINGS_SPAN_M),ROUNDDOWN(UNITS_3BR/CLOSINGS_SPAN_M,0)+IF(E2-FIRST_CLOSING_M+1&lt;=UNITS_3BR-ROUNDDOWN(UNITS_3BR/CLOSINGS_SPAN_M,0)*CLOSINGS_SPAN_M,1,0),0)</f>
        <v/>
      </c>
      <c r="F7" s="10">
        <f>IF(AND(F2&gt;=FIRST_CLOSING_M,F2&lt;FIRST_CLOSING_M+CLOSINGS_SPAN_M),ROUNDDOWN(UNITS_3BR/CLOSINGS_SPAN_M,0)+IF(F2-FIRST_CLOSING_M+1&lt;=UNITS_3BR-ROUNDDOWN(UNITS_3BR/CLOSINGS_SPAN_M,0)*CLOSINGS_SPAN_M,1,0),0)</f>
        <v/>
      </c>
      <c r="G7" s="10">
        <f>IF(AND(G2&gt;=FIRST_CLOSING_M,G2&lt;FIRST_CLOSING_M+CLOSINGS_SPAN_M),ROUNDDOWN(UNITS_3BR/CLOSINGS_SPAN_M,0)+IF(G2-FIRST_CLOSING_M+1&lt;=UNITS_3BR-ROUNDDOWN(UNITS_3BR/CLOSINGS_SPAN_M,0)*CLOSINGS_SPAN_M,1,0),0)</f>
        <v/>
      </c>
      <c r="H7" s="10">
        <f>IF(AND(H2&gt;=FIRST_CLOSING_M,H2&lt;FIRST_CLOSING_M+CLOSINGS_SPAN_M),ROUNDDOWN(UNITS_3BR/CLOSINGS_SPAN_M,0)+IF(H2-FIRST_CLOSING_M+1&lt;=UNITS_3BR-ROUNDDOWN(UNITS_3BR/CLOSINGS_SPAN_M,0)*CLOSINGS_SPAN_M,1,0),0)</f>
        <v/>
      </c>
      <c r="I7" s="10">
        <f>IF(AND(I2&gt;=FIRST_CLOSING_M,I2&lt;FIRST_CLOSING_M+CLOSINGS_SPAN_M),ROUNDDOWN(UNITS_3BR/CLOSINGS_SPAN_M,0)+IF(I2-FIRST_CLOSING_M+1&lt;=UNITS_3BR-ROUNDDOWN(UNITS_3BR/CLOSINGS_SPAN_M,0)*CLOSINGS_SPAN_M,1,0),0)</f>
        <v/>
      </c>
      <c r="J7" s="10">
        <f>IF(AND(J2&gt;=FIRST_CLOSING_M,J2&lt;FIRST_CLOSING_M+CLOSINGS_SPAN_M),ROUNDDOWN(UNITS_3BR/CLOSINGS_SPAN_M,0)+IF(J2-FIRST_CLOSING_M+1&lt;=UNITS_3BR-ROUNDDOWN(UNITS_3BR/CLOSINGS_SPAN_M,0)*CLOSINGS_SPAN_M,1,0),0)</f>
        <v/>
      </c>
      <c r="K7" s="10">
        <f>IF(AND(K2&gt;=FIRST_CLOSING_M,K2&lt;FIRST_CLOSING_M+CLOSINGS_SPAN_M),ROUNDDOWN(UNITS_3BR/CLOSINGS_SPAN_M,0)+IF(K2-FIRST_CLOSING_M+1&lt;=UNITS_3BR-ROUNDDOWN(UNITS_3BR/CLOSINGS_SPAN_M,0)*CLOSINGS_SPAN_M,1,0),0)</f>
        <v/>
      </c>
      <c r="L7" s="10">
        <f>IF(AND(L2&gt;=FIRST_CLOSING_M,L2&lt;FIRST_CLOSING_M+CLOSINGS_SPAN_M),ROUNDDOWN(UNITS_3BR/CLOSINGS_SPAN_M,0)+IF(L2-FIRST_CLOSING_M+1&lt;=UNITS_3BR-ROUNDDOWN(UNITS_3BR/CLOSINGS_SPAN_M,0)*CLOSINGS_SPAN_M,1,0),0)</f>
        <v/>
      </c>
      <c r="M7" s="10">
        <f>IF(AND(M2&gt;=FIRST_CLOSING_M,M2&lt;FIRST_CLOSING_M+CLOSINGS_SPAN_M),ROUNDDOWN(UNITS_3BR/CLOSINGS_SPAN_M,0)+IF(M2-FIRST_CLOSING_M+1&lt;=UNITS_3BR-ROUNDDOWN(UNITS_3BR/CLOSINGS_SPAN_M,0)*CLOSINGS_SPAN_M,1,0),0)</f>
        <v/>
      </c>
      <c r="N7" s="10">
        <f>IF(AND(N2&gt;=FIRST_CLOSING_M,N2&lt;FIRST_CLOSING_M+CLOSINGS_SPAN_M),ROUNDDOWN(UNITS_3BR/CLOSINGS_SPAN_M,0)+IF(N2-FIRST_CLOSING_M+1&lt;=UNITS_3BR-ROUNDDOWN(UNITS_3BR/CLOSINGS_SPAN_M,0)*CLOSINGS_SPAN_M,1,0),0)</f>
        <v/>
      </c>
      <c r="O7" s="10">
        <f>IF(AND(O2&gt;=FIRST_CLOSING_M,O2&lt;FIRST_CLOSING_M+CLOSINGS_SPAN_M),ROUNDDOWN(UNITS_3BR/CLOSINGS_SPAN_M,0)+IF(O2-FIRST_CLOSING_M+1&lt;=UNITS_3BR-ROUNDDOWN(UNITS_3BR/CLOSINGS_SPAN_M,0)*CLOSINGS_SPAN_M,1,0),0)</f>
        <v/>
      </c>
      <c r="P7" s="10">
        <f>IF(AND(P2&gt;=FIRST_CLOSING_M,P2&lt;FIRST_CLOSING_M+CLOSINGS_SPAN_M),ROUNDDOWN(UNITS_3BR/CLOSINGS_SPAN_M,0)+IF(P2-FIRST_CLOSING_M+1&lt;=UNITS_3BR-ROUNDDOWN(UNITS_3BR/CLOSINGS_SPAN_M,0)*CLOSINGS_SPAN_M,1,0),0)</f>
        <v/>
      </c>
      <c r="Q7" s="10">
        <f>IF(AND(Q2&gt;=FIRST_CLOSING_M,Q2&lt;FIRST_CLOSING_M+CLOSINGS_SPAN_M),ROUNDDOWN(UNITS_3BR/CLOSINGS_SPAN_M,0)+IF(Q2-FIRST_CLOSING_M+1&lt;=UNITS_3BR-ROUNDDOWN(UNITS_3BR/CLOSINGS_SPAN_M,0)*CLOSINGS_SPAN_M,1,0),0)</f>
        <v/>
      </c>
      <c r="R7" s="10">
        <f>IF(AND(R2&gt;=FIRST_CLOSING_M,R2&lt;FIRST_CLOSING_M+CLOSINGS_SPAN_M),ROUNDDOWN(UNITS_3BR/CLOSINGS_SPAN_M,0)+IF(R2-FIRST_CLOSING_M+1&lt;=UNITS_3BR-ROUNDDOWN(UNITS_3BR/CLOSINGS_SPAN_M,0)*CLOSINGS_SPAN_M,1,0),0)</f>
        <v/>
      </c>
      <c r="S7" s="10">
        <f>IF(AND(S2&gt;=FIRST_CLOSING_M,S2&lt;FIRST_CLOSING_M+CLOSINGS_SPAN_M),ROUNDDOWN(UNITS_3BR/CLOSINGS_SPAN_M,0)+IF(S2-FIRST_CLOSING_M+1&lt;=UNITS_3BR-ROUNDDOWN(UNITS_3BR/CLOSINGS_SPAN_M,0)*CLOSINGS_SPAN_M,1,0),0)</f>
        <v/>
      </c>
      <c r="T7" s="10">
        <f>IF(AND(T2&gt;=FIRST_CLOSING_M,T2&lt;FIRST_CLOSING_M+CLOSINGS_SPAN_M),ROUNDDOWN(UNITS_3BR/CLOSINGS_SPAN_M,0)+IF(T2-FIRST_CLOSING_M+1&lt;=UNITS_3BR-ROUNDDOWN(UNITS_3BR/CLOSINGS_SPAN_M,0)*CLOSINGS_SPAN_M,1,0),0)</f>
        <v/>
      </c>
      <c r="U7" s="10">
        <f>IF(AND(U2&gt;=FIRST_CLOSING_M,U2&lt;FIRST_CLOSING_M+CLOSINGS_SPAN_M),ROUNDDOWN(UNITS_3BR/CLOSINGS_SPAN_M,0)+IF(U2-FIRST_CLOSING_M+1&lt;=UNITS_3BR-ROUNDDOWN(UNITS_3BR/CLOSINGS_SPAN_M,0)*CLOSINGS_SPAN_M,1,0),0)</f>
        <v/>
      </c>
      <c r="V7" s="10">
        <f>IF(AND(V2&gt;=FIRST_CLOSING_M,V2&lt;FIRST_CLOSING_M+CLOSINGS_SPAN_M),ROUNDDOWN(UNITS_3BR/CLOSINGS_SPAN_M,0)+IF(V2-FIRST_CLOSING_M+1&lt;=UNITS_3BR-ROUNDDOWN(UNITS_3BR/CLOSINGS_SPAN_M,0)*CLOSINGS_SPAN_M,1,0),0)</f>
        <v/>
      </c>
      <c r="W7" s="10">
        <f>IF(AND(W2&gt;=FIRST_CLOSING_M,W2&lt;FIRST_CLOSING_M+CLOSINGS_SPAN_M),ROUNDDOWN(UNITS_3BR/CLOSINGS_SPAN_M,0)+IF(W2-FIRST_CLOSING_M+1&lt;=UNITS_3BR-ROUNDDOWN(UNITS_3BR/CLOSINGS_SPAN_M,0)*CLOSINGS_SPAN_M,1,0),0)</f>
        <v/>
      </c>
      <c r="X7" s="10">
        <f>IF(AND(X2&gt;=FIRST_CLOSING_M,X2&lt;FIRST_CLOSING_M+CLOSINGS_SPAN_M),ROUNDDOWN(UNITS_3BR/CLOSINGS_SPAN_M,0)+IF(X2-FIRST_CLOSING_M+1&lt;=UNITS_3BR-ROUNDDOWN(UNITS_3BR/CLOSINGS_SPAN_M,0)*CLOSINGS_SPAN_M,1,0),0)</f>
        <v/>
      </c>
      <c r="Y7" s="10">
        <f>IF(AND(Y2&gt;=FIRST_CLOSING_M,Y2&lt;FIRST_CLOSING_M+CLOSINGS_SPAN_M),ROUNDDOWN(UNITS_3BR/CLOSINGS_SPAN_M,0)+IF(Y2-FIRST_CLOSING_M+1&lt;=UNITS_3BR-ROUNDDOWN(UNITS_3BR/CLOSINGS_SPAN_M,0)*CLOSINGS_SPAN_M,1,0),0)</f>
        <v/>
      </c>
      <c r="Z7" s="10">
        <f>IF(AND(Z2&gt;=FIRST_CLOSING_M,Z2&lt;FIRST_CLOSING_M+CLOSINGS_SPAN_M),ROUNDDOWN(UNITS_3BR/CLOSINGS_SPAN_M,0)+IF(Z2-FIRST_CLOSING_M+1&lt;=UNITS_3BR-ROUNDDOWN(UNITS_3BR/CLOSINGS_SPAN_M,0)*CLOSINGS_SPAN_M,1,0),0)</f>
        <v/>
      </c>
      <c r="AA7" s="10">
        <f>IF(AND(AA2&gt;=FIRST_CLOSING_M,AA2&lt;FIRST_CLOSING_M+CLOSINGS_SPAN_M),ROUNDDOWN(UNITS_3BR/CLOSINGS_SPAN_M,0)+IF(AA2-FIRST_CLOSING_M+1&lt;=UNITS_3BR-ROUNDDOWN(UNITS_3BR/CLOSINGS_SPAN_M,0)*CLOSINGS_SPAN_M,1,0),0)</f>
        <v/>
      </c>
      <c r="AB7" s="10">
        <f>IF(AND(AB2&gt;=FIRST_CLOSING_M,AB2&lt;FIRST_CLOSING_M+CLOSINGS_SPAN_M),ROUNDDOWN(UNITS_3BR/CLOSINGS_SPAN_M,0)+IF(AB2-FIRST_CLOSING_M+1&lt;=UNITS_3BR-ROUNDDOWN(UNITS_3BR/CLOSINGS_SPAN_M,0)*CLOSINGS_SPAN_M,1,0),0)</f>
        <v/>
      </c>
      <c r="AC7" s="10">
        <f>IF(AND(AC2&gt;=FIRST_CLOSING_M,AC2&lt;FIRST_CLOSING_M+CLOSINGS_SPAN_M),ROUNDDOWN(UNITS_3BR/CLOSINGS_SPAN_M,0)+IF(AC2-FIRST_CLOSING_M+1&lt;=UNITS_3BR-ROUNDDOWN(UNITS_3BR/CLOSINGS_SPAN_M,0)*CLOSINGS_SPAN_M,1,0),0)</f>
        <v/>
      </c>
      <c r="AD7" s="10">
        <f>IF(AND(AD2&gt;=FIRST_CLOSING_M,AD2&lt;FIRST_CLOSING_M+CLOSINGS_SPAN_M),ROUNDDOWN(UNITS_3BR/CLOSINGS_SPAN_M,0)+IF(AD2-FIRST_CLOSING_M+1&lt;=UNITS_3BR-ROUNDDOWN(UNITS_3BR/CLOSINGS_SPAN_M,0)*CLOSINGS_SPAN_M,1,0),0)</f>
        <v/>
      </c>
      <c r="AE7" s="10">
        <f>IF(AND(AE2&gt;=FIRST_CLOSING_M,AE2&lt;FIRST_CLOSING_M+CLOSINGS_SPAN_M),ROUNDDOWN(UNITS_3BR/CLOSINGS_SPAN_M,0)+IF(AE2-FIRST_CLOSING_M+1&lt;=UNITS_3BR-ROUNDDOWN(UNITS_3BR/CLOSINGS_SPAN_M,0)*CLOSINGS_SPAN_M,1,0),0)</f>
        <v/>
      </c>
      <c r="AF7" s="10">
        <f>IF(AND(AF2&gt;=FIRST_CLOSING_M,AF2&lt;FIRST_CLOSING_M+CLOSINGS_SPAN_M),ROUNDDOWN(UNITS_3BR/CLOSINGS_SPAN_M,0)+IF(AF2-FIRST_CLOSING_M+1&lt;=UNITS_3BR-ROUNDDOWN(UNITS_3BR/CLOSINGS_SPAN_M,0)*CLOSINGS_SPAN_M,1,0),0)</f>
        <v/>
      </c>
      <c r="AG7" s="10">
        <f>IF(AND(AG2&gt;=FIRST_CLOSING_M,AG2&lt;FIRST_CLOSING_M+CLOSINGS_SPAN_M),ROUNDDOWN(UNITS_3BR/CLOSINGS_SPAN_M,0)+IF(AG2-FIRST_CLOSING_M+1&lt;=UNITS_3BR-ROUNDDOWN(UNITS_3BR/CLOSINGS_SPAN_M,0)*CLOSINGS_SPAN_M,1,0),0)</f>
        <v/>
      </c>
      <c r="AH7" s="10">
        <f>IF(AND(AH2&gt;=FIRST_CLOSING_M,AH2&lt;FIRST_CLOSING_M+CLOSINGS_SPAN_M),ROUNDDOWN(UNITS_3BR/CLOSINGS_SPAN_M,0)+IF(AH2-FIRST_CLOSING_M+1&lt;=UNITS_3BR-ROUNDDOWN(UNITS_3BR/CLOSINGS_SPAN_M,0)*CLOSINGS_SPAN_M,1,0),0)</f>
        <v/>
      </c>
      <c r="AI7" s="10">
        <f>IF(AND(AI2&gt;=FIRST_CLOSING_M,AI2&lt;FIRST_CLOSING_M+CLOSINGS_SPAN_M),ROUNDDOWN(UNITS_3BR/CLOSINGS_SPAN_M,0)+IF(AI2-FIRST_CLOSING_M+1&lt;=UNITS_3BR-ROUNDDOWN(UNITS_3BR/CLOSINGS_SPAN_M,0)*CLOSINGS_SPAN_M,1,0),0)</f>
        <v/>
      </c>
      <c r="AJ7" s="10">
        <f>IF(AND(AJ2&gt;=FIRST_CLOSING_M,AJ2&lt;FIRST_CLOSING_M+CLOSINGS_SPAN_M),ROUNDDOWN(UNITS_3BR/CLOSINGS_SPAN_M,0)+IF(AJ2-FIRST_CLOSING_M+1&lt;=UNITS_3BR-ROUNDDOWN(UNITS_3BR/CLOSINGS_SPAN_M,0)*CLOSINGS_SPAN_M,1,0),0)</f>
        <v/>
      </c>
      <c r="AK7" s="10">
        <f>IF(AND(AK2&gt;=FIRST_CLOSING_M,AK2&lt;FIRST_CLOSING_M+CLOSINGS_SPAN_M),ROUNDDOWN(UNITS_3BR/CLOSINGS_SPAN_M,0)+IF(AK2-FIRST_CLOSING_M+1&lt;=UNITS_3BR-ROUNDDOWN(UNITS_3BR/CLOSINGS_SPAN_M,0)*CLOSINGS_SPAN_M,1,0),0)</f>
        <v/>
      </c>
      <c r="AL7" s="10">
        <f>IF(AND(AL2&gt;=FIRST_CLOSING_M,AL2&lt;FIRST_CLOSING_M+CLOSINGS_SPAN_M),ROUNDDOWN(UNITS_3BR/CLOSINGS_SPAN_M,0)+IF(AL2-FIRST_CLOSING_M+1&lt;=UNITS_3BR-ROUNDDOWN(UNITS_3BR/CLOSINGS_SPAN_M,0)*CLOSINGS_SPAN_M,1,0),0)</f>
        <v/>
      </c>
      <c r="AM7" s="10">
        <f>IF(AND(AM2&gt;=FIRST_CLOSING_M,AM2&lt;FIRST_CLOSING_M+CLOSINGS_SPAN_M),ROUNDDOWN(UNITS_3BR/CLOSINGS_SPAN_M,0)+IF(AM2-FIRST_CLOSING_M+1&lt;=UNITS_3BR-ROUNDDOWN(UNITS_3BR/CLOSINGS_SPAN_M,0)*CLOSINGS_SPAN_M,1,0),0)</f>
        <v/>
      </c>
      <c r="AN7" s="10">
        <f>IF(AND(AN2&gt;=FIRST_CLOSING_M,AN2&lt;FIRST_CLOSING_M+CLOSINGS_SPAN_M),ROUNDDOWN(UNITS_3BR/CLOSINGS_SPAN_M,0)+IF(AN2-FIRST_CLOSING_M+1&lt;=UNITS_3BR-ROUNDDOWN(UNITS_3BR/CLOSINGS_SPAN_M,0)*CLOSINGS_SPAN_M,1,0),0)</f>
        <v/>
      </c>
      <c r="AO7" s="10">
        <f>IF(AND(AO2&gt;=FIRST_CLOSING_M,AO2&lt;FIRST_CLOSING_M+CLOSINGS_SPAN_M),ROUNDDOWN(UNITS_3BR/CLOSINGS_SPAN_M,0)+IF(AO2-FIRST_CLOSING_M+1&lt;=UNITS_3BR-ROUNDDOWN(UNITS_3BR/CLOSINGS_SPAN_M,0)*CLOSINGS_SPAN_M,1,0),0)</f>
        <v/>
      </c>
      <c r="AP7" s="10">
        <f>IF(AND(AP2&gt;=FIRST_CLOSING_M,AP2&lt;FIRST_CLOSING_M+CLOSINGS_SPAN_M),ROUNDDOWN(UNITS_3BR/CLOSINGS_SPAN_M,0)+IF(AP2-FIRST_CLOSING_M+1&lt;=UNITS_3BR-ROUNDDOWN(UNITS_3BR/CLOSINGS_SPAN_M,0)*CLOSINGS_SPAN_M,1,0),0)</f>
        <v/>
      </c>
      <c r="AQ7" s="10">
        <f>IF(AND(AQ2&gt;=FIRST_CLOSING_M,AQ2&lt;FIRST_CLOSING_M+CLOSINGS_SPAN_M),ROUNDDOWN(UNITS_3BR/CLOSINGS_SPAN_M,0)+IF(AQ2-FIRST_CLOSING_M+1&lt;=UNITS_3BR-ROUNDDOWN(UNITS_3BR/CLOSINGS_SPAN_M,0)*CLOSINGS_SPAN_M,1,0),0)</f>
        <v/>
      </c>
      <c r="AR7" s="10">
        <f>IF(AND(AR2&gt;=FIRST_CLOSING_M,AR2&lt;FIRST_CLOSING_M+CLOSINGS_SPAN_M),ROUNDDOWN(UNITS_3BR/CLOSINGS_SPAN_M,0)+IF(AR2-FIRST_CLOSING_M+1&lt;=UNITS_3BR-ROUNDDOWN(UNITS_3BR/CLOSINGS_SPAN_M,0)*CLOSINGS_SPAN_M,1,0),0)</f>
        <v/>
      </c>
      <c r="AS7" s="10">
        <f>IF(AND(AS2&gt;=FIRST_CLOSING_M,AS2&lt;FIRST_CLOSING_M+CLOSINGS_SPAN_M),ROUNDDOWN(UNITS_3BR/CLOSINGS_SPAN_M,0)+IF(AS2-FIRST_CLOSING_M+1&lt;=UNITS_3BR-ROUNDDOWN(UNITS_3BR/CLOSINGS_SPAN_M,0)*CLOSINGS_SPAN_M,1,0),0)</f>
        <v/>
      </c>
      <c r="AT7" s="10">
        <f>IF(AND(AT2&gt;=FIRST_CLOSING_M,AT2&lt;FIRST_CLOSING_M+CLOSINGS_SPAN_M),ROUNDDOWN(UNITS_3BR/CLOSINGS_SPAN_M,0)+IF(AT2-FIRST_CLOSING_M+1&lt;=UNITS_3BR-ROUNDDOWN(UNITS_3BR/CLOSINGS_SPAN_M,0)*CLOSINGS_SPAN_M,1,0),0)</f>
        <v/>
      </c>
      <c r="AU7" s="10">
        <f>IF(AND(AU2&gt;=FIRST_CLOSING_M,AU2&lt;FIRST_CLOSING_M+CLOSINGS_SPAN_M),ROUNDDOWN(UNITS_3BR/CLOSINGS_SPAN_M,0)+IF(AU2-FIRST_CLOSING_M+1&lt;=UNITS_3BR-ROUNDDOWN(UNITS_3BR/CLOSINGS_SPAN_M,0)*CLOSINGS_SPAN_M,1,0),0)</f>
        <v/>
      </c>
      <c r="AV7" s="10">
        <f>IF(AND(AV2&gt;=FIRST_CLOSING_M,AV2&lt;FIRST_CLOSING_M+CLOSINGS_SPAN_M),ROUNDDOWN(UNITS_3BR/CLOSINGS_SPAN_M,0)+IF(AV2-FIRST_CLOSING_M+1&lt;=UNITS_3BR-ROUNDDOWN(UNITS_3BR/CLOSINGS_SPAN_M,0)*CLOSINGS_SPAN_M,1,0),0)</f>
        <v/>
      </c>
      <c r="AW7" s="10">
        <f>IF(AND(AW2&gt;=FIRST_CLOSING_M,AW2&lt;FIRST_CLOSING_M+CLOSINGS_SPAN_M),ROUNDDOWN(UNITS_3BR/CLOSINGS_SPAN_M,0)+IF(AW2-FIRST_CLOSING_M+1&lt;=UNITS_3BR-ROUNDDOWN(UNITS_3BR/CLOSINGS_SPAN_M,0)*CLOSINGS_SPAN_M,1,0),0)</f>
        <v/>
      </c>
      <c r="AX7" s="10">
        <f>IF(AND(AX2&gt;=FIRST_CLOSING_M,AX2&lt;FIRST_CLOSING_M+CLOSINGS_SPAN_M),ROUNDDOWN(UNITS_3BR/CLOSINGS_SPAN_M,0)+IF(AX2-FIRST_CLOSING_M+1&lt;=UNITS_3BR-ROUNDDOWN(UNITS_3BR/CLOSINGS_SPAN_M,0)*CLOSINGS_SPAN_M,1,0),0)</f>
        <v/>
      </c>
      <c r="AY7" s="10">
        <f>IF(AND(AY2&gt;=FIRST_CLOSING_M,AY2&lt;FIRST_CLOSING_M+CLOSINGS_SPAN_M),ROUNDDOWN(UNITS_3BR/CLOSINGS_SPAN_M,0)+IF(AY2-FIRST_CLOSING_M+1&lt;=UNITS_3BR-ROUNDDOWN(UNITS_3BR/CLOSINGS_SPAN_M,0)*CLOSINGS_SPAN_M,1,0),0)</f>
        <v/>
      </c>
      <c r="AZ7" s="10">
        <f>IF(AND(AZ2&gt;=FIRST_CLOSING_M,AZ2&lt;FIRST_CLOSING_M+CLOSINGS_SPAN_M),ROUNDDOWN(UNITS_3BR/CLOSINGS_SPAN_M,0)+IF(AZ2-FIRST_CLOSING_M+1&lt;=UNITS_3BR-ROUNDDOWN(UNITS_3BR/CLOSINGS_SPAN_M,0)*CLOSINGS_SPAN_M,1,0),0)</f>
        <v/>
      </c>
      <c r="BA7" s="10">
        <f>IF(AND(BA2&gt;=FIRST_CLOSING_M,BA2&lt;FIRST_CLOSING_M+CLOSINGS_SPAN_M),ROUNDDOWN(UNITS_3BR/CLOSINGS_SPAN_M,0)+IF(BA2-FIRST_CLOSING_M+1&lt;=UNITS_3BR-ROUNDDOWN(UNITS_3BR/CLOSINGS_SPAN_M,0)*CLOSINGS_SPAN_M,1,0),0)</f>
        <v/>
      </c>
      <c r="BB7" s="10">
        <f>IF(AND(BB2&gt;=FIRST_CLOSING_M,BB2&lt;FIRST_CLOSING_M+CLOSINGS_SPAN_M),ROUNDDOWN(UNITS_3BR/CLOSINGS_SPAN_M,0)+IF(BB2-FIRST_CLOSING_M+1&lt;=UNITS_3BR-ROUNDDOWN(UNITS_3BR/CLOSINGS_SPAN_M,0)*CLOSINGS_SPAN_M,1,0),0)</f>
        <v/>
      </c>
      <c r="BC7" s="10">
        <f>IF(AND(BC2&gt;=FIRST_CLOSING_M,BC2&lt;FIRST_CLOSING_M+CLOSINGS_SPAN_M),ROUNDDOWN(UNITS_3BR/CLOSINGS_SPAN_M,0)+IF(BC2-FIRST_CLOSING_M+1&lt;=UNITS_3BR-ROUNDDOWN(UNITS_3BR/CLOSINGS_SPAN_M,0)*CLOSINGS_SPAN_M,1,0),0)</f>
        <v/>
      </c>
      <c r="BD7" s="10">
        <f>IF(AND(BD2&gt;=FIRST_CLOSING_M,BD2&lt;FIRST_CLOSING_M+CLOSINGS_SPAN_M),ROUNDDOWN(UNITS_3BR/CLOSINGS_SPAN_M,0)+IF(BD2-FIRST_CLOSING_M+1&lt;=UNITS_3BR-ROUNDDOWN(UNITS_3BR/CLOSINGS_SPAN_M,0)*CLOSINGS_SPAN_M,1,0),0)</f>
        <v/>
      </c>
      <c r="BE7" s="10">
        <f>IF(AND(BE2&gt;=FIRST_CLOSING_M,BE2&lt;FIRST_CLOSING_M+CLOSINGS_SPAN_M),ROUNDDOWN(UNITS_3BR/CLOSINGS_SPAN_M,0)+IF(BE2-FIRST_CLOSING_M+1&lt;=UNITS_3BR-ROUNDDOWN(UNITS_3BR/CLOSINGS_SPAN_M,0)*CLOSINGS_SPAN_M,1,0),0)</f>
        <v/>
      </c>
      <c r="BF7" s="10">
        <f>IF(AND(BF2&gt;=FIRST_CLOSING_M,BF2&lt;FIRST_CLOSING_M+CLOSINGS_SPAN_M),ROUNDDOWN(UNITS_3BR/CLOSINGS_SPAN_M,0)+IF(BF2-FIRST_CLOSING_M+1&lt;=UNITS_3BR-ROUNDDOWN(UNITS_3BR/CLOSINGS_SPAN_M,0)*CLOSINGS_SPAN_M,1,0),0)</f>
        <v/>
      </c>
      <c r="BG7" s="10">
        <f>IF(AND(BG2&gt;=FIRST_CLOSING_M,BG2&lt;FIRST_CLOSING_M+CLOSINGS_SPAN_M),ROUNDDOWN(UNITS_3BR/CLOSINGS_SPAN_M,0)+IF(BG2-FIRST_CLOSING_M+1&lt;=UNITS_3BR-ROUNDDOWN(UNITS_3BR/CLOSINGS_SPAN_M,0)*CLOSINGS_SPAN_M,1,0),0)</f>
        <v/>
      </c>
      <c r="BH7" s="10">
        <f>IF(AND(BH2&gt;=FIRST_CLOSING_M,BH2&lt;FIRST_CLOSING_M+CLOSINGS_SPAN_M),ROUNDDOWN(UNITS_3BR/CLOSINGS_SPAN_M,0)+IF(BH2-FIRST_CLOSING_M+1&lt;=UNITS_3BR-ROUNDDOWN(UNITS_3BR/CLOSINGS_SPAN_M,0)*CLOSINGS_SPAN_M,1,0),0)</f>
        <v/>
      </c>
      <c r="BI7" s="10">
        <f>IF(AND(BI2&gt;=FIRST_CLOSING_M,BI2&lt;FIRST_CLOSING_M+CLOSINGS_SPAN_M),ROUNDDOWN(UNITS_3BR/CLOSINGS_SPAN_M,0)+IF(BI2-FIRST_CLOSING_M+1&lt;=UNITS_3BR-ROUNDDOWN(UNITS_3BR/CLOSINGS_SPAN_M,0)*CLOSINGS_SPAN_M,1,0),0)</f>
        <v/>
      </c>
      <c r="BJ7" s="10">
        <f>IF(AND(BJ2&gt;=FIRST_CLOSING_M,BJ2&lt;FIRST_CLOSING_M+CLOSINGS_SPAN_M),ROUNDDOWN(UNITS_3BR/CLOSINGS_SPAN_M,0)+IF(BJ2-FIRST_CLOSING_M+1&lt;=UNITS_3BR-ROUNDDOWN(UNITS_3BR/CLOSINGS_SPAN_M,0)*CLOSINGS_SPAN_M,1,0),0)</f>
        <v/>
      </c>
      <c r="BK7" s="10">
        <f>IF(AND(BK2&gt;=FIRST_CLOSING_M,BK2&lt;FIRST_CLOSING_M+CLOSINGS_SPAN_M),ROUNDDOWN(UNITS_3BR/CLOSINGS_SPAN_M,0)+IF(BK2-FIRST_CLOSING_M+1&lt;=UNITS_3BR-ROUNDDOWN(UNITS_3BR/CLOSINGS_SPAN_M,0)*CLOSINGS_SPAN_M,1,0),0)</f>
        <v/>
      </c>
      <c r="BL7" s="10">
        <f>IF(AND(BL2&gt;=FIRST_CLOSING_M,BL2&lt;FIRST_CLOSING_M+CLOSINGS_SPAN_M),ROUNDDOWN(UNITS_3BR/CLOSINGS_SPAN_M,0)+IF(BL2-FIRST_CLOSING_M+1&lt;=UNITS_3BR-ROUNDDOWN(UNITS_3BR/CLOSINGS_SPAN_M,0)*CLOSINGS_SPAN_M,1,0),0)</f>
        <v/>
      </c>
      <c r="BM7" s="10">
        <f>IF(AND(BM2&gt;=FIRST_CLOSING_M,BM2&lt;FIRST_CLOSING_M+CLOSINGS_SPAN_M),ROUNDDOWN(UNITS_3BR/CLOSINGS_SPAN_M,0)+IF(BM2-FIRST_CLOSING_M+1&lt;=UNITS_3BR-ROUNDDOWN(UNITS_3BR/CLOSINGS_SPAN_M,0)*CLOSINGS_SPAN_M,1,0),0)</f>
        <v/>
      </c>
      <c r="BN7" s="10">
        <f>IF(AND(BN2&gt;=FIRST_CLOSING_M,BN2&lt;FIRST_CLOSING_M+CLOSINGS_SPAN_M),ROUNDDOWN(UNITS_3BR/CLOSINGS_SPAN_M,0)+IF(BN2-FIRST_CLOSING_M+1&lt;=UNITS_3BR-ROUNDDOWN(UNITS_3BR/CLOSINGS_SPAN_M,0)*CLOSINGS_SPAN_M,1,0),0)</f>
        <v/>
      </c>
      <c r="BO7" s="10">
        <f>IF(AND(BO2&gt;=FIRST_CLOSING_M,BO2&lt;FIRST_CLOSING_M+CLOSINGS_SPAN_M),ROUNDDOWN(UNITS_3BR/CLOSINGS_SPAN_M,0)+IF(BO2-FIRST_CLOSING_M+1&lt;=UNITS_3BR-ROUNDDOWN(UNITS_3BR/CLOSINGS_SPAN_M,0)*CLOSINGS_SPAN_M,1,0),0)</f>
        <v/>
      </c>
      <c r="BP7" s="10">
        <f>IF(AND(BP2&gt;=FIRST_CLOSING_M,BP2&lt;FIRST_CLOSING_M+CLOSINGS_SPAN_M),ROUNDDOWN(UNITS_3BR/CLOSINGS_SPAN_M,0)+IF(BP2-FIRST_CLOSING_M+1&lt;=UNITS_3BR-ROUNDDOWN(UNITS_3BR/CLOSINGS_SPAN_M,0)*CLOSINGS_SPAN_M,1,0),0)</f>
        <v/>
      </c>
      <c r="BQ7" s="10">
        <f>IF(AND(BQ2&gt;=FIRST_CLOSING_M,BQ2&lt;FIRST_CLOSING_M+CLOSINGS_SPAN_M),ROUNDDOWN(UNITS_3BR/CLOSINGS_SPAN_M,0)+IF(BQ2-FIRST_CLOSING_M+1&lt;=UNITS_3BR-ROUNDDOWN(UNITS_3BR/CLOSINGS_SPAN_M,0)*CLOSINGS_SPAN_M,1,0),0)</f>
        <v/>
      </c>
      <c r="BR7" s="10">
        <f>IF(AND(BR2&gt;=FIRST_CLOSING_M,BR2&lt;FIRST_CLOSING_M+CLOSINGS_SPAN_M),ROUNDDOWN(UNITS_3BR/CLOSINGS_SPAN_M,0)+IF(BR2-FIRST_CLOSING_M+1&lt;=UNITS_3BR-ROUNDDOWN(UNITS_3BR/CLOSINGS_SPAN_M,0)*CLOSINGS_SPAN_M,1,0),0)</f>
        <v/>
      </c>
      <c r="BS7" s="10">
        <f>IF(AND(BS2&gt;=FIRST_CLOSING_M,BS2&lt;FIRST_CLOSING_M+CLOSINGS_SPAN_M),ROUNDDOWN(UNITS_3BR/CLOSINGS_SPAN_M,0)+IF(BS2-FIRST_CLOSING_M+1&lt;=UNITS_3BR-ROUNDDOWN(UNITS_3BR/CLOSINGS_SPAN_M,0)*CLOSINGS_SPAN_M,1,0),0)</f>
        <v/>
      </c>
      <c r="BT7" s="10">
        <f>IF(AND(BT2&gt;=FIRST_CLOSING_M,BT2&lt;FIRST_CLOSING_M+CLOSINGS_SPAN_M),ROUNDDOWN(UNITS_3BR/CLOSINGS_SPAN_M,0)+IF(BT2-FIRST_CLOSING_M+1&lt;=UNITS_3BR-ROUNDDOWN(UNITS_3BR/CLOSINGS_SPAN_M,0)*CLOSINGS_SPAN_M,1,0),0)</f>
        <v/>
      </c>
      <c r="BU7" s="10">
        <f>IF(AND(BU2&gt;=FIRST_CLOSING_M,BU2&lt;FIRST_CLOSING_M+CLOSINGS_SPAN_M),ROUNDDOWN(UNITS_3BR/CLOSINGS_SPAN_M,0)+IF(BU2-FIRST_CLOSING_M+1&lt;=UNITS_3BR-ROUNDDOWN(UNITS_3BR/CLOSINGS_SPAN_M,0)*CLOSINGS_SPAN_M,1,0),0)</f>
        <v/>
      </c>
      <c r="BV7" s="10">
        <f>IF(AND(BV2&gt;=FIRST_CLOSING_M,BV2&lt;FIRST_CLOSING_M+CLOSINGS_SPAN_M),ROUNDDOWN(UNITS_3BR/CLOSINGS_SPAN_M,0)+IF(BV2-FIRST_CLOSING_M+1&lt;=UNITS_3BR-ROUNDDOWN(UNITS_3BR/CLOSINGS_SPAN_M,0)*CLOSINGS_SPAN_M,1,0),0)</f>
        <v/>
      </c>
      <c r="BW7" s="10">
        <f>IF(AND(BW2&gt;=FIRST_CLOSING_M,BW2&lt;FIRST_CLOSING_M+CLOSINGS_SPAN_M),ROUNDDOWN(UNITS_3BR/CLOSINGS_SPAN_M,0)+IF(BW2-FIRST_CLOSING_M+1&lt;=UNITS_3BR-ROUNDDOWN(UNITS_3BR/CLOSINGS_SPAN_M,0)*CLOSINGS_SPAN_M,1,0),0)</f>
        <v/>
      </c>
      <c r="BX7" s="10">
        <f>IF(AND(BX2&gt;=FIRST_CLOSING_M,BX2&lt;FIRST_CLOSING_M+CLOSINGS_SPAN_M),ROUNDDOWN(UNITS_3BR/CLOSINGS_SPAN_M,0)+IF(BX2-FIRST_CLOSING_M+1&lt;=UNITS_3BR-ROUNDDOWN(UNITS_3BR/CLOSINGS_SPAN_M,0)*CLOSINGS_SPAN_M,1,0),0)</f>
        <v/>
      </c>
      <c r="BY7" s="10">
        <f>IF(AND(BY2&gt;=FIRST_CLOSING_M,BY2&lt;FIRST_CLOSING_M+CLOSINGS_SPAN_M),ROUNDDOWN(UNITS_3BR/CLOSINGS_SPAN_M,0)+IF(BY2-FIRST_CLOSING_M+1&lt;=UNITS_3BR-ROUNDDOWN(UNITS_3BR/CLOSINGS_SPAN_M,0)*CLOSINGS_SPAN_M,1,0),0)</f>
        <v/>
      </c>
      <c r="BZ7" s="10">
        <f>IF(AND(BZ2&gt;=FIRST_CLOSING_M,BZ2&lt;FIRST_CLOSING_M+CLOSINGS_SPAN_M),ROUNDDOWN(UNITS_3BR/CLOSINGS_SPAN_M,0)+IF(BZ2-FIRST_CLOSING_M+1&lt;=UNITS_3BR-ROUNDDOWN(UNITS_3BR/CLOSINGS_SPAN_M,0)*CLOSINGS_SPAN_M,1,0),0)</f>
        <v/>
      </c>
      <c r="CA7" s="10">
        <f>IF(AND(CA2&gt;=FIRST_CLOSING_M,CA2&lt;FIRST_CLOSING_M+CLOSINGS_SPAN_M),ROUNDDOWN(UNITS_3BR/CLOSINGS_SPAN_M,0)+IF(CA2-FIRST_CLOSING_M+1&lt;=UNITS_3BR-ROUNDDOWN(UNITS_3BR/CLOSINGS_SPAN_M,0)*CLOSINGS_SPAN_M,1,0),0)</f>
        <v/>
      </c>
      <c r="CB7" s="10">
        <f>IF(AND(CB2&gt;=FIRST_CLOSING_M,CB2&lt;FIRST_CLOSING_M+CLOSINGS_SPAN_M),ROUNDDOWN(UNITS_3BR/CLOSINGS_SPAN_M,0)+IF(CB2-FIRST_CLOSING_M+1&lt;=UNITS_3BR-ROUNDDOWN(UNITS_3BR/CLOSINGS_SPAN_M,0)*CLOSINGS_SPAN_M,1,0),0)</f>
        <v/>
      </c>
      <c r="CC7" s="10">
        <f>IF(AND(CC2&gt;=FIRST_CLOSING_M,CC2&lt;FIRST_CLOSING_M+CLOSINGS_SPAN_M),ROUNDDOWN(UNITS_3BR/CLOSINGS_SPAN_M,0)+IF(CC2-FIRST_CLOSING_M+1&lt;=UNITS_3BR-ROUNDDOWN(UNITS_3BR/CLOSINGS_SPAN_M,0)*CLOSINGS_SPAN_M,1,0),0)</f>
        <v/>
      </c>
      <c r="CD7" s="10">
        <f>IF(AND(CD2&gt;=FIRST_CLOSING_M,CD2&lt;FIRST_CLOSING_M+CLOSINGS_SPAN_M),ROUNDDOWN(UNITS_3BR/CLOSINGS_SPAN_M,0)+IF(CD2-FIRST_CLOSING_M+1&lt;=UNITS_3BR-ROUNDDOWN(UNITS_3BR/CLOSINGS_SPAN_M,0)*CLOSINGS_SPAN_M,1,0),0)</f>
        <v/>
      </c>
      <c r="CE7" s="10">
        <f>IF(AND(CE2&gt;=FIRST_CLOSING_M,CE2&lt;FIRST_CLOSING_M+CLOSINGS_SPAN_M),ROUNDDOWN(UNITS_3BR/CLOSINGS_SPAN_M,0)+IF(CE2-FIRST_CLOSING_M+1&lt;=UNITS_3BR-ROUNDDOWN(UNITS_3BR/CLOSINGS_SPAN_M,0)*CLOSINGS_SPAN_M,1,0),0)</f>
        <v/>
      </c>
      <c r="CF7" s="10">
        <f>IF(AND(CF2&gt;=FIRST_CLOSING_M,CF2&lt;FIRST_CLOSING_M+CLOSINGS_SPAN_M),ROUNDDOWN(UNITS_3BR/CLOSINGS_SPAN_M,0)+IF(CF2-FIRST_CLOSING_M+1&lt;=UNITS_3BR-ROUNDDOWN(UNITS_3BR/CLOSINGS_SPAN_M,0)*CLOSINGS_SPAN_M,1,0),0)</f>
        <v/>
      </c>
      <c r="CG7" s="10">
        <f>IF(AND(CG2&gt;=FIRST_CLOSING_M,CG2&lt;FIRST_CLOSING_M+CLOSINGS_SPAN_M),ROUNDDOWN(UNITS_3BR/CLOSINGS_SPAN_M,0)+IF(CG2-FIRST_CLOSING_M+1&lt;=UNITS_3BR-ROUNDDOWN(UNITS_3BR/CLOSINGS_SPAN_M,0)*CLOSINGS_SPAN_M,1,0),0)</f>
        <v/>
      </c>
      <c r="CH7" s="10">
        <f>IF(AND(CH2&gt;=FIRST_CLOSING_M,CH2&lt;FIRST_CLOSING_M+CLOSINGS_SPAN_M),ROUNDDOWN(UNITS_3BR/CLOSINGS_SPAN_M,0)+IF(CH2-FIRST_CLOSING_M+1&lt;=UNITS_3BR-ROUNDDOWN(UNITS_3BR/CLOSINGS_SPAN_M,0)*CLOSINGS_SPAN_M,1,0),0)</f>
        <v/>
      </c>
    </row>
    <row r="8">
      <c r="A8" s="3" t="inlineStr">
        <is>
          <t>Penthouse closings</t>
        </is>
      </c>
      <c r="B8" s="4" t="inlineStr">
        <is>
          <t>units</t>
        </is>
      </c>
      <c r="C8" s="10">
        <f>IF(AND(C2&gt;=FIRST_CLOSING_M,C2&lt;FIRST_CLOSING_M+CLOSINGS_SPAN_M),ROUNDDOWN(UNITS_PH/CLOSINGS_SPAN_M,0)+IF(C2-FIRST_CLOSING_M+1&lt;=UNITS_PH-ROUNDDOWN(UNITS_PH/CLOSINGS_SPAN_M,0)*CLOSINGS_SPAN_M,1,0),0)</f>
        <v/>
      </c>
      <c r="D8" s="10">
        <f>IF(AND(D2&gt;=FIRST_CLOSING_M,D2&lt;FIRST_CLOSING_M+CLOSINGS_SPAN_M),ROUNDDOWN(UNITS_PH/CLOSINGS_SPAN_M,0)+IF(D2-FIRST_CLOSING_M+1&lt;=UNITS_PH-ROUNDDOWN(UNITS_PH/CLOSINGS_SPAN_M,0)*CLOSINGS_SPAN_M,1,0),0)</f>
        <v/>
      </c>
      <c r="E8" s="10">
        <f>IF(AND(E2&gt;=FIRST_CLOSING_M,E2&lt;FIRST_CLOSING_M+CLOSINGS_SPAN_M),ROUNDDOWN(UNITS_PH/CLOSINGS_SPAN_M,0)+IF(E2-FIRST_CLOSING_M+1&lt;=UNITS_PH-ROUNDDOWN(UNITS_PH/CLOSINGS_SPAN_M,0)*CLOSINGS_SPAN_M,1,0),0)</f>
        <v/>
      </c>
      <c r="F8" s="10">
        <f>IF(AND(F2&gt;=FIRST_CLOSING_M,F2&lt;FIRST_CLOSING_M+CLOSINGS_SPAN_M),ROUNDDOWN(UNITS_PH/CLOSINGS_SPAN_M,0)+IF(F2-FIRST_CLOSING_M+1&lt;=UNITS_PH-ROUNDDOWN(UNITS_PH/CLOSINGS_SPAN_M,0)*CLOSINGS_SPAN_M,1,0),0)</f>
        <v/>
      </c>
      <c r="G8" s="10">
        <f>IF(AND(G2&gt;=FIRST_CLOSING_M,G2&lt;FIRST_CLOSING_M+CLOSINGS_SPAN_M),ROUNDDOWN(UNITS_PH/CLOSINGS_SPAN_M,0)+IF(G2-FIRST_CLOSING_M+1&lt;=UNITS_PH-ROUNDDOWN(UNITS_PH/CLOSINGS_SPAN_M,0)*CLOSINGS_SPAN_M,1,0),0)</f>
        <v/>
      </c>
      <c r="H8" s="10">
        <f>IF(AND(H2&gt;=FIRST_CLOSING_M,H2&lt;FIRST_CLOSING_M+CLOSINGS_SPAN_M),ROUNDDOWN(UNITS_PH/CLOSINGS_SPAN_M,0)+IF(H2-FIRST_CLOSING_M+1&lt;=UNITS_PH-ROUNDDOWN(UNITS_PH/CLOSINGS_SPAN_M,0)*CLOSINGS_SPAN_M,1,0),0)</f>
        <v/>
      </c>
      <c r="I8" s="10">
        <f>IF(AND(I2&gt;=FIRST_CLOSING_M,I2&lt;FIRST_CLOSING_M+CLOSINGS_SPAN_M),ROUNDDOWN(UNITS_PH/CLOSINGS_SPAN_M,0)+IF(I2-FIRST_CLOSING_M+1&lt;=UNITS_PH-ROUNDDOWN(UNITS_PH/CLOSINGS_SPAN_M,0)*CLOSINGS_SPAN_M,1,0),0)</f>
        <v/>
      </c>
      <c r="J8" s="10">
        <f>IF(AND(J2&gt;=FIRST_CLOSING_M,J2&lt;FIRST_CLOSING_M+CLOSINGS_SPAN_M),ROUNDDOWN(UNITS_PH/CLOSINGS_SPAN_M,0)+IF(J2-FIRST_CLOSING_M+1&lt;=UNITS_PH-ROUNDDOWN(UNITS_PH/CLOSINGS_SPAN_M,0)*CLOSINGS_SPAN_M,1,0),0)</f>
        <v/>
      </c>
      <c r="K8" s="10">
        <f>IF(AND(K2&gt;=FIRST_CLOSING_M,K2&lt;FIRST_CLOSING_M+CLOSINGS_SPAN_M),ROUNDDOWN(UNITS_PH/CLOSINGS_SPAN_M,0)+IF(K2-FIRST_CLOSING_M+1&lt;=UNITS_PH-ROUNDDOWN(UNITS_PH/CLOSINGS_SPAN_M,0)*CLOSINGS_SPAN_M,1,0),0)</f>
        <v/>
      </c>
      <c r="L8" s="10">
        <f>IF(AND(L2&gt;=FIRST_CLOSING_M,L2&lt;FIRST_CLOSING_M+CLOSINGS_SPAN_M),ROUNDDOWN(UNITS_PH/CLOSINGS_SPAN_M,0)+IF(L2-FIRST_CLOSING_M+1&lt;=UNITS_PH-ROUNDDOWN(UNITS_PH/CLOSINGS_SPAN_M,0)*CLOSINGS_SPAN_M,1,0),0)</f>
        <v/>
      </c>
      <c r="M8" s="10">
        <f>IF(AND(M2&gt;=FIRST_CLOSING_M,M2&lt;FIRST_CLOSING_M+CLOSINGS_SPAN_M),ROUNDDOWN(UNITS_PH/CLOSINGS_SPAN_M,0)+IF(M2-FIRST_CLOSING_M+1&lt;=UNITS_PH-ROUNDDOWN(UNITS_PH/CLOSINGS_SPAN_M,0)*CLOSINGS_SPAN_M,1,0),0)</f>
        <v/>
      </c>
      <c r="N8" s="10">
        <f>IF(AND(N2&gt;=FIRST_CLOSING_M,N2&lt;FIRST_CLOSING_M+CLOSINGS_SPAN_M),ROUNDDOWN(UNITS_PH/CLOSINGS_SPAN_M,0)+IF(N2-FIRST_CLOSING_M+1&lt;=UNITS_PH-ROUNDDOWN(UNITS_PH/CLOSINGS_SPAN_M,0)*CLOSINGS_SPAN_M,1,0),0)</f>
        <v/>
      </c>
      <c r="O8" s="10">
        <f>IF(AND(O2&gt;=FIRST_CLOSING_M,O2&lt;FIRST_CLOSING_M+CLOSINGS_SPAN_M),ROUNDDOWN(UNITS_PH/CLOSINGS_SPAN_M,0)+IF(O2-FIRST_CLOSING_M+1&lt;=UNITS_PH-ROUNDDOWN(UNITS_PH/CLOSINGS_SPAN_M,0)*CLOSINGS_SPAN_M,1,0),0)</f>
        <v/>
      </c>
      <c r="P8" s="10">
        <f>IF(AND(P2&gt;=FIRST_CLOSING_M,P2&lt;FIRST_CLOSING_M+CLOSINGS_SPAN_M),ROUNDDOWN(UNITS_PH/CLOSINGS_SPAN_M,0)+IF(P2-FIRST_CLOSING_M+1&lt;=UNITS_PH-ROUNDDOWN(UNITS_PH/CLOSINGS_SPAN_M,0)*CLOSINGS_SPAN_M,1,0),0)</f>
        <v/>
      </c>
      <c r="Q8" s="10">
        <f>IF(AND(Q2&gt;=FIRST_CLOSING_M,Q2&lt;FIRST_CLOSING_M+CLOSINGS_SPAN_M),ROUNDDOWN(UNITS_PH/CLOSINGS_SPAN_M,0)+IF(Q2-FIRST_CLOSING_M+1&lt;=UNITS_PH-ROUNDDOWN(UNITS_PH/CLOSINGS_SPAN_M,0)*CLOSINGS_SPAN_M,1,0),0)</f>
        <v/>
      </c>
      <c r="R8" s="10">
        <f>IF(AND(R2&gt;=FIRST_CLOSING_M,R2&lt;FIRST_CLOSING_M+CLOSINGS_SPAN_M),ROUNDDOWN(UNITS_PH/CLOSINGS_SPAN_M,0)+IF(R2-FIRST_CLOSING_M+1&lt;=UNITS_PH-ROUNDDOWN(UNITS_PH/CLOSINGS_SPAN_M,0)*CLOSINGS_SPAN_M,1,0),0)</f>
        <v/>
      </c>
      <c r="S8" s="10">
        <f>IF(AND(S2&gt;=FIRST_CLOSING_M,S2&lt;FIRST_CLOSING_M+CLOSINGS_SPAN_M),ROUNDDOWN(UNITS_PH/CLOSINGS_SPAN_M,0)+IF(S2-FIRST_CLOSING_M+1&lt;=UNITS_PH-ROUNDDOWN(UNITS_PH/CLOSINGS_SPAN_M,0)*CLOSINGS_SPAN_M,1,0),0)</f>
        <v/>
      </c>
      <c r="T8" s="10">
        <f>IF(AND(T2&gt;=FIRST_CLOSING_M,T2&lt;FIRST_CLOSING_M+CLOSINGS_SPAN_M),ROUNDDOWN(UNITS_PH/CLOSINGS_SPAN_M,0)+IF(T2-FIRST_CLOSING_M+1&lt;=UNITS_PH-ROUNDDOWN(UNITS_PH/CLOSINGS_SPAN_M,0)*CLOSINGS_SPAN_M,1,0),0)</f>
        <v/>
      </c>
      <c r="U8" s="10">
        <f>IF(AND(U2&gt;=FIRST_CLOSING_M,U2&lt;FIRST_CLOSING_M+CLOSINGS_SPAN_M),ROUNDDOWN(UNITS_PH/CLOSINGS_SPAN_M,0)+IF(U2-FIRST_CLOSING_M+1&lt;=UNITS_PH-ROUNDDOWN(UNITS_PH/CLOSINGS_SPAN_M,0)*CLOSINGS_SPAN_M,1,0),0)</f>
        <v/>
      </c>
      <c r="V8" s="10">
        <f>IF(AND(V2&gt;=FIRST_CLOSING_M,V2&lt;FIRST_CLOSING_M+CLOSINGS_SPAN_M),ROUNDDOWN(UNITS_PH/CLOSINGS_SPAN_M,0)+IF(V2-FIRST_CLOSING_M+1&lt;=UNITS_PH-ROUNDDOWN(UNITS_PH/CLOSINGS_SPAN_M,0)*CLOSINGS_SPAN_M,1,0),0)</f>
        <v/>
      </c>
      <c r="W8" s="10">
        <f>IF(AND(W2&gt;=FIRST_CLOSING_M,W2&lt;FIRST_CLOSING_M+CLOSINGS_SPAN_M),ROUNDDOWN(UNITS_PH/CLOSINGS_SPAN_M,0)+IF(W2-FIRST_CLOSING_M+1&lt;=UNITS_PH-ROUNDDOWN(UNITS_PH/CLOSINGS_SPAN_M,0)*CLOSINGS_SPAN_M,1,0),0)</f>
        <v/>
      </c>
      <c r="X8" s="10">
        <f>IF(AND(X2&gt;=FIRST_CLOSING_M,X2&lt;FIRST_CLOSING_M+CLOSINGS_SPAN_M),ROUNDDOWN(UNITS_PH/CLOSINGS_SPAN_M,0)+IF(X2-FIRST_CLOSING_M+1&lt;=UNITS_PH-ROUNDDOWN(UNITS_PH/CLOSINGS_SPAN_M,0)*CLOSINGS_SPAN_M,1,0),0)</f>
        <v/>
      </c>
      <c r="Y8" s="10">
        <f>IF(AND(Y2&gt;=FIRST_CLOSING_M,Y2&lt;FIRST_CLOSING_M+CLOSINGS_SPAN_M),ROUNDDOWN(UNITS_PH/CLOSINGS_SPAN_M,0)+IF(Y2-FIRST_CLOSING_M+1&lt;=UNITS_PH-ROUNDDOWN(UNITS_PH/CLOSINGS_SPAN_M,0)*CLOSINGS_SPAN_M,1,0),0)</f>
        <v/>
      </c>
      <c r="Z8" s="10">
        <f>IF(AND(Z2&gt;=FIRST_CLOSING_M,Z2&lt;FIRST_CLOSING_M+CLOSINGS_SPAN_M),ROUNDDOWN(UNITS_PH/CLOSINGS_SPAN_M,0)+IF(Z2-FIRST_CLOSING_M+1&lt;=UNITS_PH-ROUNDDOWN(UNITS_PH/CLOSINGS_SPAN_M,0)*CLOSINGS_SPAN_M,1,0),0)</f>
        <v/>
      </c>
      <c r="AA8" s="10">
        <f>IF(AND(AA2&gt;=FIRST_CLOSING_M,AA2&lt;FIRST_CLOSING_M+CLOSINGS_SPAN_M),ROUNDDOWN(UNITS_PH/CLOSINGS_SPAN_M,0)+IF(AA2-FIRST_CLOSING_M+1&lt;=UNITS_PH-ROUNDDOWN(UNITS_PH/CLOSINGS_SPAN_M,0)*CLOSINGS_SPAN_M,1,0),0)</f>
        <v/>
      </c>
      <c r="AB8" s="10">
        <f>IF(AND(AB2&gt;=FIRST_CLOSING_M,AB2&lt;FIRST_CLOSING_M+CLOSINGS_SPAN_M),ROUNDDOWN(UNITS_PH/CLOSINGS_SPAN_M,0)+IF(AB2-FIRST_CLOSING_M+1&lt;=UNITS_PH-ROUNDDOWN(UNITS_PH/CLOSINGS_SPAN_M,0)*CLOSINGS_SPAN_M,1,0),0)</f>
        <v/>
      </c>
      <c r="AC8" s="10">
        <f>IF(AND(AC2&gt;=FIRST_CLOSING_M,AC2&lt;FIRST_CLOSING_M+CLOSINGS_SPAN_M),ROUNDDOWN(UNITS_PH/CLOSINGS_SPAN_M,0)+IF(AC2-FIRST_CLOSING_M+1&lt;=UNITS_PH-ROUNDDOWN(UNITS_PH/CLOSINGS_SPAN_M,0)*CLOSINGS_SPAN_M,1,0),0)</f>
        <v/>
      </c>
      <c r="AD8" s="10">
        <f>IF(AND(AD2&gt;=FIRST_CLOSING_M,AD2&lt;FIRST_CLOSING_M+CLOSINGS_SPAN_M),ROUNDDOWN(UNITS_PH/CLOSINGS_SPAN_M,0)+IF(AD2-FIRST_CLOSING_M+1&lt;=UNITS_PH-ROUNDDOWN(UNITS_PH/CLOSINGS_SPAN_M,0)*CLOSINGS_SPAN_M,1,0),0)</f>
        <v/>
      </c>
      <c r="AE8" s="10">
        <f>IF(AND(AE2&gt;=FIRST_CLOSING_M,AE2&lt;FIRST_CLOSING_M+CLOSINGS_SPAN_M),ROUNDDOWN(UNITS_PH/CLOSINGS_SPAN_M,0)+IF(AE2-FIRST_CLOSING_M+1&lt;=UNITS_PH-ROUNDDOWN(UNITS_PH/CLOSINGS_SPAN_M,0)*CLOSINGS_SPAN_M,1,0),0)</f>
        <v/>
      </c>
      <c r="AF8" s="10">
        <f>IF(AND(AF2&gt;=FIRST_CLOSING_M,AF2&lt;FIRST_CLOSING_M+CLOSINGS_SPAN_M),ROUNDDOWN(UNITS_PH/CLOSINGS_SPAN_M,0)+IF(AF2-FIRST_CLOSING_M+1&lt;=UNITS_PH-ROUNDDOWN(UNITS_PH/CLOSINGS_SPAN_M,0)*CLOSINGS_SPAN_M,1,0),0)</f>
        <v/>
      </c>
      <c r="AG8" s="10">
        <f>IF(AND(AG2&gt;=FIRST_CLOSING_M,AG2&lt;FIRST_CLOSING_M+CLOSINGS_SPAN_M),ROUNDDOWN(UNITS_PH/CLOSINGS_SPAN_M,0)+IF(AG2-FIRST_CLOSING_M+1&lt;=UNITS_PH-ROUNDDOWN(UNITS_PH/CLOSINGS_SPAN_M,0)*CLOSINGS_SPAN_M,1,0),0)</f>
        <v/>
      </c>
      <c r="AH8" s="10">
        <f>IF(AND(AH2&gt;=FIRST_CLOSING_M,AH2&lt;FIRST_CLOSING_M+CLOSINGS_SPAN_M),ROUNDDOWN(UNITS_PH/CLOSINGS_SPAN_M,0)+IF(AH2-FIRST_CLOSING_M+1&lt;=UNITS_PH-ROUNDDOWN(UNITS_PH/CLOSINGS_SPAN_M,0)*CLOSINGS_SPAN_M,1,0),0)</f>
        <v/>
      </c>
      <c r="AI8" s="10">
        <f>IF(AND(AI2&gt;=FIRST_CLOSING_M,AI2&lt;FIRST_CLOSING_M+CLOSINGS_SPAN_M),ROUNDDOWN(UNITS_PH/CLOSINGS_SPAN_M,0)+IF(AI2-FIRST_CLOSING_M+1&lt;=UNITS_PH-ROUNDDOWN(UNITS_PH/CLOSINGS_SPAN_M,0)*CLOSINGS_SPAN_M,1,0),0)</f>
        <v/>
      </c>
      <c r="AJ8" s="10">
        <f>IF(AND(AJ2&gt;=FIRST_CLOSING_M,AJ2&lt;FIRST_CLOSING_M+CLOSINGS_SPAN_M),ROUNDDOWN(UNITS_PH/CLOSINGS_SPAN_M,0)+IF(AJ2-FIRST_CLOSING_M+1&lt;=UNITS_PH-ROUNDDOWN(UNITS_PH/CLOSINGS_SPAN_M,0)*CLOSINGS_SPAN_M,1,0),0)</f>
        <v/>
      </c>
      <c r="AK8" s="10">
        <f>IF(AND(AK2&gt;=FIRST_CLOSING_M,AK2&lt;FIRST_CLOSING_M+CLOSINGS_SPAN_M),ROUNDDOWN(UNITS_PH/CLOSINGS_SPAN_M,0)+IF(AK2-FIRST_CLOSING_M+1&lt;=UNITS_PH-ROUNDDOWN(UNITS_PH/CLOSINGS_SPAN_M,0)*CLOSINGS_SPAN_M,1,0),0)</f>
        <v/>
      </c>
      <c r="AL8" s="10">
        <f>IF(AND(AL2&gt;=FIRST_CLOSING_M,AL2&lt;FIRST_CLOSING_M+CLOSINGS_SPAN_M),ROUNDDOWN(UNITS_PH/CLOSINGS_SPAN_M,0)+IF(AL2-FIRST_CLOSING_M+1&lt;=UNITS_PH-ROUNDDOWN(UNITS_PH/CLOSINGS_SPAN_M,0)*CLOSINGS_SPAN_M,1,0),0)</f>
        <v/>
      </c>
      <c r="AM8" s="10">
        <f>IF(AND(AM2&gt;=FIRST_CLOSING_M,AM2&lt;FIRST_CLOSING_M+CLOSINGS_SPAN_M),ROUNDDOWN(UNITS_PH/CLOSINGS_SPAN_M,0)+IF(AM2-FIRST_CLOSING_M+1&lt;=UNITS_PH-ROUNDDOWN(UNITS_PH/CLOSINGS_SPAN_M,0)*CLOSINGS_SPAN_M,1,0),0)</f>
        <v/>
      </c>
      <c r="AN8" s="10">
        <f>IF(AND(AN2&gt;=FIRST_CLOSING_M,AN2&lt;FIRST_CLOSING_M+CLOSINGS_SPAN_M),ROUNDDOWN(UNITS_PH/CLOSINGS_SPAN_M,0)+IF(AN2-FIRST_CLOSING_M+1&lt;=UNITS_PH-ROUNDDOWN(UNITS_PH/CLOSINGS_SPAN_M,0)*CLOSINGS_SPAN_M,1,0),0)</f>
        <v/>
      </c>
      <c r="AO8" s="10">
        <f>IF(AND(AO2&gt;=FIRST_CLOSING_M,AO2&lt;FIRST_CLOSING_M+CLOSINGS_SPAN_M),ROUNDDOWN(UNITS_PH/CLOSINGS_SPAN_M,0)+IF(AO2-FIRST_CLOSING_M+1&lt;=UNITS_PH-ROUNDDOWN(UNITS_PH/CLOSINGS_SPAN_M,0)*CLOSINGS_SPAN_M,1,0),0)</f>
        <v/>
      </c>
      <c r="AP8" s="10">
        <f>IF(AND(AP2&gt;=FIRST_CLOSING_M,AP2&lt;FIRST_CLOSING_M+CLOSINGS_SPAN_M),ROUNDDOWN(UNITS_PH/CLOSINGS_SPAN_M,0)+IF(AP2-FIRST_CLOSING_M+1&lt;=UNITS_PH-ROUNDDOWN(UNITS_PH/CLOSINGS_SPAN_M,0)*CLOSINGS_SPAN_M,1,0),0)</f>
        <v/>
      </c>
      <c r="AQ8" s="10">
        <f>IF(AND(AQ2&gt;=FIRST_CLOSING_M,AQ2&lt;FIRST_CLOSING_M+CLOSINGS_SPAN_M),ROUNDDOWN(UNITS_PH/CLOSINGS_SPAN_M,0)+IF(AQ2-FIRST_CLOSING_M+1&lt;=UNITS_PH-ROUNDDOWN(UNITS_PH/CLOSINGS_SPAN_M,0)*CLOSINGS_SPAN_M,1,0),0)</f>
        <v/>
      </c>
      <c r="AR8" s="10">
        <f>IF(AND(AR2&gt;=FIRST_CLOSING_M,AR2&lt;FIRST_CLOSING_M+CLOSINGS_SPAN_M),ROUNDDOWN(UNITS_PH/CLOSINGS_SPAN_M,0)+IF(AR2-FIRST_CLOSING_M+1&lt;=UNITS_PH-ROUNDDOWN(UNITS_PH/CLOSINGS_SPAN_M,0)*CLOSINGS_SPAN_M,1,0),0)</f>
        <v/>
      </c>
      <c r="AS8" s="10">
        <f>IF(AND(AS2&gt;=FIRST_CLOSING_M,AS2&lt;FIRST_CLOSING_M+CLOSINGS_SPAN_M),ROUNDDOWN(UNITS_PH/CLOSINGS_SPAN_M,0)+IF(AS2-FIRST_CLOSING_M+1&lt;=UNITS_PH-ROUNDDOWN(UNITS_PH/CLOSINGS_SPAN_M,0)*CLOSINGS_SPAN_M,1,0),0)</f>
        <v/>
      </c>
      <c r="AT8" s="10">
        <f>IF(AND(AT2&gt;=FIRST_CLOSING_M,AT2&lt;FIRST_CLOSING_M+CLOSINGS_SPAN_M),ROUNDDOWN(UNITS_PH/CLOSINGS_SPAN_M,0)+IF(AT2-FIRST_CLOSING_M+1&lt;=UNITS_PH-ROUNDDOWN(UNITS_PH/CLOSINGS_SPAN_M,0)*CLOSINGS_SPAN_M,1,0),0)</f>
        <v/>
      </c>
      <c r="AU8" s="10">
        <f>IF(AND(AU2&gt;=FIRST_CLOSING_M,AU2&lt;FIRST_CLOSING_M+CLOSINGS_SPAN_M),ROUNDDOWN(UNITS_PH/CLOSINGS_SPAN_M,0)+IF(AU2-FIRST_CLOSING_M+1&lt;=UNITS_PH-ROUNDDOWN(UNITS_PH/CLOSINGS_SPAN_M,0)*CLOSINGS_SPAN_M,1,0),0)</f>
        <v/>
      </c>
      <c r="AV8" s="10">
        <f>IF(AND(AV2&gt;=FIRST_CLOSING_M,AV2&lt;FIRST_CLOSING_M+CLOSINGS_SPAN_M),ROUNDDOWN(UNITS_PH/CLOSINGS_SPAN_M,0)+IF(AV2-FIRST_CLOSING_M+1&lt;=UNITS_PH-ROUNDDOWN(UNITS_PH/CLOSINGS_SPAN_M,0)*CLOSINGS_SPAN_M,1,0),0)</f>
        <v/>
      </c>
      <c r="AW8" s="10">
        <f>IF(AND(AW2&gt;=FIRST_CLOSING_M,AW2&lt;FIRST_CLOSING_M+CLOSINGS_SPAN_M),ROUNDDOWN(UNITS_PH/CLOSINGS_SPAN_M,0)+IF(AW2-FIRST_CLOSING_M+1&lt;=UNITS_PH-ROUNDDOWN(UNITS_PH/CLOSINGS_SPAN_M,0)*CLOSINGS_SPAN_M,1,0),0)</f>
        <v/>
      </c>
      <c r="AX8" s="10">
        <f>IF(AND(AX2&gt;=FIRST_CLOSING_M,AX2&lt;FIRST_CLOSING_M+CLOSINGS_SPAN_M),ROUNDDOWN(UNITS_PH/CLOSINGS_SPAN_M,0)+IF(AX2-FIRST_CLOSING_M+1&lt;=UNITS_PH-ROUNDDOWN(UNITS_PH/CLOSINGS_SPAN_M,0)*CLOSINGS_SPAN_M,1,0),0)</f>
        <v/>
      </c>
      <c r="AY8" s="10">
        <f>IF(AND(AY2&gt;=FIRST_CLOSING_M,AY2&lt;FIRST_CLOSING_M+CLOSINGS_SPAN_M),ROUNDDOWN(UNITS_PH/CLOSINGS_SPAN_M,0)+IF(AY2-FIRST_CLOSING_M+1&lt;=UNITS_PH-ROUNDDOWN(UNITS_PH/CLOSINGS_SPAN_M,0)*CLOSINGS_SPAN_M,1,0),0)</f>
        <v/>
      </c>
      <c r="AZ8" s="10">
        <f>IF(AND(AZ2&gt;=FIRST_CLOSING_M,AZ2&lt;FIRST_CLOSING_M+CLOSINGS_SPAN_M),ROUNDDOWN(UNITS_PH/CLOSINGS_SPAN_M,0)+IF(AZ2-FIRST_CLOSING_M+1&lt;=UNITS_PH-ROUNDDOWN(UNITS_PH/CLOSINGS_SPAN_M,0)*CLOSINGS_SPAN_M,1,0),0)</f>
        <v/>
      </c>
      <c r="BA8" s="10">
        <f>IF(AND(BA2&gt;=FIRST_CLOSING_M,BA2&lt;FIRST_CLOSING_M+CLOSINGS_SPAN_M),ROUNDDOWN(UNITS_PH/CLOSINGS_SPAN_M,0)+IF(BA2-FIRST_CLOSING_M+1&lt;=UNITS_PH-ROUNDDOWN(UNITS_PH/CLOSINGS_SPAN_M,0)*CLOSINGS_SPAN_M,1,0),0)</f>
        <v/>
      </c>
      <c r="BB8" s="10">
        <f>IF(AND(BB2&gt;=FIRST_CLOSING_M,BB2&lt;FIRST_CLOSING_M+CLOSINGS_SPAN_M),ROUNDDOWN(UNITS_PH/CLOSINGS_SPAN_M,0)+IF(BB2-FIRST_CLOSING_M+1&lt;=UNITS_PH-ROUNDDOWN(UNITS_PH/CLOSINGS_SPAN_M,0)*CLOSINGS_SPAN_M,1,0),0)</f>
        <v/>
      </c>
      <c r="BC8" s="10">
        <f>IF(AND(BC2&gt;=FIRST_CLOSING_M,BC2&lt;FIRST_CLOSING_M+CLOSINGS_SPAN_M),ROUNDDOWN(UNITS_PH/CLOSINGS_SPAN_M,0)+IF(BC2-FIRST_CLOSING_M+1&lt;=UNITS_PH-ROUNDDOWN(UNITS_PH/CLOSINGS_SPAN_M,0)*CLOSINGS_SPAN_M,1,0),0)</f>
        <v/>
      </c>
      <c r="BD8" s="10">
        <f>IF(AND(BD2&gt;=FIRST_CLOSING_M,BD2&lt;FIRST_CLOSING_M+CLOSINGS_SPAN_M),ROUNDDOWN(UNITS_PH/CLOSINGS_SPAN_M,0)+IF(BD2-FIRST_CLOSING_M+1&lt;=UNITS_PH-ROUNDDOWN(UNITS_PH/CLOSINGS_SPAN_M,0)*CLOSINGS_SPAN_M,1,0),0)</f>
        <v/>
      </c>
      <c r="BE8" s="10">
        <f>IF(AND(BE2&gt;=FIRST_CLOSING_M,BE2&lt;FIRST_CLOSING_M+CLOSINGS_SPAN_M),ROUNDDOWN(UNITS_PH/CLOSINGS_SPAN_M,0)+IF(BE2-FIRST_CLOSING_M+1&lt;=UNITS_PH-ROUNDDOWN(UNITS_PH/CLOSINGS_SPAN_M,0)*CLOSINGS_SPAN_M,1,0),0)</f>
        <v/>
      </c>
      <c r="BF8" s="10">
        <f>IF(AND(BF2&gt;=FIRST_CLOSING_M,BF2&lt;FIRST_CLOSING_M+CLOSINGS_SPAN_M),ROUNDDOWN(UNITS_PH/CLOSINGS_SPAN_M,0)+IF(BF2-FIRST_CLOSING_M+1&lt;=UNITS_PH-ROUNDDOWN(UNITS_PH/CLOSINGS_SPAN_M,0)*CLOSINGS_SPAN_M,1,0),0)</f>
        <v/>
      </c>
      <c r="BG8" s="10">
        <f>IF(AND(BG2&gt;=FIRST_CLOSING_M,BG2&lt;FIRST_CLOSING_M+CLOSINGS_SPAN_M),ROUNDDOWN(UNITS_PH/CLOSINGS_SPAN_M,0)+IF(BG2-FIRST_CLOSING_M+1&lt;=UNITS_PH-ROUNDDOWN(UNITS_PH/CLOSINGS_SPAN_M,0)*CLOSINGS_SPAN_M,1,0),0)</f>
        <v/>
      </c>
      <c r="BH8" s="10">
        <f>IF(AND(BH2&gt;=FIRST_CLOSING_M,BH2&lt;FIRST_CLOSING_M+CLOSINGS_SPAN_M),ROUNDDOWN(UNITS_PH/CLOSINGS_SPAN_M,0)+IF(BH2-FIRST_CLOSING_M+1&lt;=UNITS_PH-ROUNDDOWN(UNITS_PH/CLOSINGS_SPAN_M,0)*CLOSINGS_SPAN_M,1,0),0)</f>
        <v/>
      </c>
      <c r="BI8" s="10">
        <f>IF(AND(BI2&gt;=FIRST_CLOSING_M,BI2&lt;FIRST_CLOSING_M+CLOSINGS_SPAN_M),ROUNDDOWN(UNITS_PH/CLOSINGS_SPAN_M,0)+IF(BI2-FIRST_CLOSING_M+1&lt;=UNITS_PH-ROUNDDOWN(UNITS_PH/CLOSINGS_SPAN_M,0)*CLOSINGS_SPAN_M,1,0),0)</f>
        <v/>
      </c>
      <c r="BJ8" s="10">
        <f>IF(AND(BJ2&gt;=FIRST_CLOSING_M,BJ2&lt;FIRST_CLOSING_M+CLOSINGS_SPAN_M),ROUNDDOWN(UNITS_PH/CLOSINGS_SPAN_M,0)+IF(BJ2-FIRST_CLOSING_M+1&lt;=UNITS_PH-ROUNDDOWN(UNITS_PH/CLOSINGS_SPAN_M,0)*CLOSINGS_SPAN_M,1,0),0)</f>
        <v/>
      </c>
      <c r="BK8" s="10">
        <f>IF(AND(BK2&gt;=FIRST_CLOSING_M,BK2&lt;FIRST_CLOSING_M+CLOSINGS_SPAN_M),ROUNDDOWN(UNITS_PH/CLOSINGS_SPAN_M,0)+IF(BK2-FIRST_CLOSING_M+1&lt;=UNITS_PH-ROUNDDOWN(UNITS_PH/CLOSINGS_SPAN_M,0)*CLOSINGS_SPAN_M,1,0),0)</f>
        <v/>
      </c>
      <c r="BL8" s="10">
        <f>IF(AND(BL2&gt;=FIRST_CLOSING_M,BL2&lt;FIRST_CLOSING_M+CLOSINGS_SPAN_M),ROUNDDOWN(UNITS_PH/CLOSINGS_SPAN_M,0)+IF(BL2-FIRST_CLOSING_M+1&lt;=UNITS_PH-ROUNDDOWN(UNITS_PH/CLOSINGS_SPAN_M,0)*CLOSINGS_SPAN_M,1,0),0)</f>
        <v/>
      </c>
      <c r="BM8" s="10">
        <f>IF(AND(BM2&gt;=FIRST_CLOSING_M,BM2&lt;FIRST_CLOSING_M+CLOSINGS_SPAN_M),ROUNDDOWN(UNITS_PH/CLOSINGS_SPAN_M,0)+IF(BM2-FIRST_CLOSING_M+1&lt;=UNITS_PH-ROUNDDOWN(UNITS_PH/CLOSINGS_SPAN_M,0)*CLOSINGS_SPAN_M,1,0),0)</f>
        <v/>
      </c>
      <c r="BN8" s="10">
        <f>IF(AND(BN2&gt;=FIRST_CLOSING_M,BN2&lt;FIRST_CLOSING_M+CLOSINGS_SPAN_M),ROUNDDOWN(UNITS_PH/CLOSINGS_SPAN_M,0)+IF(BN2-FIRST_CLOSING_M+1&lt;=UNITS_PH-ROUNDDOWN(UNITS_PH/CLOSINGS_SPAN_M,0)*CLOSINGS_SPAN_M,1,0),0)</f>
        <v/>
      </c>
      <c r="BO8" s="10">
        <f>IF(AND(BO2&gt;=FIRST_CLOSING_M,BO2&lt;FIRST_CLOSING_M+CLOSINGS_SPAN_M),ROUNDDOWN(UNITS_PH/CLOSINGS_SPAN_M,0)+IF(BO2-FIRST_CLOSING_M+1&lt;=UNITS_PH-ROUNDDOWN(UNITS_PH/CLOSINGS_SPAN_M,0)*CLOSINGS_SPAN_M,1,0),0)</f>
        <v/>
      </c>
      <c r="BP8" s="10">
        <f>IF(AND(BP2&gt;=FIRST_CLOSING_M,BP2&lt;FIRST_CLOSING_M+CLOSINGS_SPAN_M),ROUNDDOWN(UNITS_PH/CLOSINGS_SPAN_M,0)+IF(BP2-FIRST_CLOSING_M+1&lt;=UNITS_PH-ROUNDDOWN(UNITS_PH/CLOSINGS_SPAN_M,0)*CLOSINGS_SPAN_M,1,0),0)</f>
        <v/>
      </c>
      <c r="BQ8" s="10">
        <f>IF(AND(BQ2&gt;=FIRST_CLOSING_M,BQ2&lt;FIRST_CLOSING_M+CLOSINGS_SPAN_M),ROUNDDOWN(UNITS_PH/CLOSINGS_SPAN_M,0)+IF(BQ2-FIRST_CLOSING_M+1&lt;=UNITS_PH-ROUNDDOWN(UNITS_PH/CLOSINGS_SPAN_M,0)*CLOSINGS_SPAN_M,1,0),0)</f>
        <v/>
      </c>
      <c r="BR8" s="10">
        <f>IF(AND(BR2&gt;=FIRST_CLOSING_M,BR2&lt;FIRST_CLOSING_M+CLOSINGS_SPAN_M),ROUNDDOWN(UNITS_PH/CLOSINGS_SPAN_M,0)+IF(BR2-FIRST_CLOSING_M+1&lt;=UNITS_PH-ROUNDDOWN(UNITS_PH/CLOSINGS_SPAN_M,0)*CLOSINGS_SPAN_M,1,0),0)</f>
        <v/>
      </c>
      <c r="BS8" s="10">
        <f>IF(AND(BS2&gt;=FIRST_CLOSING_M,BS2&lt;FIRST_CLOSING_M+CLOSINGS_SPAN_M),ROUNDDOWN(UNITS_PH/CLOSINGS_SPAN_M,0)+IF(BS2-FIRST_CLOSING_M+1&lt;=UNITS_PH-ROUNDDOWN(UNITS_PH/CLOSINGS_SPAN_M,0)*CLOSINGS_SPAN_M,1,0),0)</f>
        <v/>
      </c>
      <c r="BT8" s="10">
        <f>IF(AND(BT2&gt;=FIRST_CLOSING_M,BT2&lt;FIRST_CLOSING_M+CLOSINGS_SPAN_M),ROUNDDOWN(UNITS_PH/CLOSINGS_SPAN_M,0)+IF(BT2-FIRST_CLOSING_M+1&lt;=UNITS_PH-ROUNDDOWN(UNITS_PH/CLOSINGS_SPAN_M,0)*CLOSINGS_SPAN_M,1,0),0)</f>
        <v/>
      </c>
      <c r="BU8" s="10">
        <f>IF(AND(BU2&gt;=FIRST_CLOSING_M,BU2&lt;FIRST_CLOSING_M+CLOSINGS_SPAN_M),ROUNDDOWN(UNITS_PH/CLOSINGS_SPAN_M,0)+IF(BU2-FIRST_CLOSING_M+1&lt;=UNITS_PH-ROUNDDOWN(UNITS_PH/CLOSINGS_SPAN_M,0)*CLOSINGS_SPAN_M,1,0),0)</f>
        <v/>
      </c>
      <c r="BV8" s="10">
        <f>IF(AND(BV2&gt;=FIRST_CLOSING_M,BV2&lt;FIRST_CLOSING_M+CLOSINGS_SPAN_M),ROUNDDOWN(UNITS_PH/CLOSINGS_SPAN_M,0)+IF(BV2-FIRST_CLOSING_M+1&lt;=UNITS_PH-ROUNDDOWN(UNITS_PH/CLOSINGS_SPAN_M,0)*CLOSINGS_SPAN_M,1,0),0)</f>
        <v/>
      </c>
      <c r="BW8" s="10">
        <f>IF(AND(BW2&gt;=FIRST_CLOSING_M,BW2&lt;FIRST_CLOSING_M+CLOSINGS_SPAN_M),ROUNDDOWN(UNITS_PH/CLOSINGS_SPAN_M,0)+IF(BW2-FIRST_CLOSING_M+1&lt;=UNITS_PH-ROUNDDOWN(UNITS_PH/CLOSINGS_SPAN_M,0)*CLOSINGS_SPAN_M,1,0),0)</f>
        <v/>
      </c>
      <c r="BX8" s="10">
        <f>IF(AND(BX2&gt;=FIRST_CLOSING_M,BX2&lt;FIRST_CLOSING_M+CLOSINGS_SPAN_M),ROUNDDOWN(UNITS_PH/CLOSINGS_SPAN_M,0)+IF(BX2-FIRST_CLOSING_M+1&lt;=UNITS_PH-ROUNDDOWN(UNITS_PH/CLOSINGS_SPAN_M,0)*CLOSINGS_SPAN_M,1,0),0)</f>
        <v/>
      </c>
      <c r="BY8" s="10">
        <f>IF(AND(BY2&gt;=FIRST_CLOSING_M,BY2&lt;FIRST_CLOSING_M+CLOSINGS_SPAN_M),ROUNDDOWN(UNITS_PH/CLOSINGS_SPAN_M,0)+IF(BY2-FIRST_CLOSING_M+1&lt;=UNITS_PH-ROUNDDOWN(UNITS_PH/CLOSINGS_SPAN_M,0)*CLOSINGS_SPAN_M,1,0),0)</f>
        <v/>
      </c>
      <c r="BZ8" s="10">
        <f>IF(AND(BZ2&gt;=FIRST_CLOSING_M,BZ2&lt;FIRST_CLOSING_M+CLOSINGS_SPAN_M),ROUNDDOWN(UNITS_PH/CLOSINGS_SPAN_M,0)+IF(BZ2-FIRST_CLOSING_M+1&lt;=UNITS_PH-ROUNDDOWN(UNITS_PH/CLOSINGS_SPAN_M,0)*CLOSINGS_SPAN_M,1,0),0)</f>
        <v/>
      </c>
      <c r="CA8" s="10">
        <f>IF(AND(CA2&gt;=FIRST_CLOSING_M,CA2&lt;FIRST_CLOSING_M+CLOSINGS_SPAN_M),ROUNDDOWN(UNITS_PH/CLOSINGS_SPAN_M,0)+IF(CA2-FIRST_CLOSING_M+1&lt;=UNITS_PH-ROUNDDOWN(UNITS_PH/CLOSINGS_SPAN_M,0)*CLOSINGS_SPAN_M,1,0),0)</f>
        <v/>
      </c>
      <c r="CB8" s="10">
        <f>IF(AND(CB2&gt;=FIRST_CLOSING_M,CB2&lt;FIRST_CLOSING_M+CLOSINGS_SPAN_M),ROUNDDOWN(UNITS_PH/CLOSINGS_SPAN_M,0)+IF(CB2-FIRST_CLOSING_M+1&lt;=UNITS_PH-ROUNDDOWN(UNITS_PH/CLOSINGS_SPAN_M,0)*CLOSINGS_SPAN_M,1,0),0)</f>
        <v/>
      </c>
      <c r="CC8" s="10">
        <f>IF(AND(CC2&gt;=FIRST_CLOSING_M,CC2&lt;FIRST_CLOSING_M+CLOSINGS_SPAN_M),ROUNDDOWN(UNITS_PH/CLOSINGS_SPAN_M,0)+IF(CC2-FIRST_CLOSING_M+1&lt;=UNITS_PH-ROUNDDOWN(UNITS_PH/CLOSINGS_SPAN_M,0)*CLOSINGS_SPAN_M,1,0),0)</f>
        <v/>
      </c>
      <c r="CD8" s="10">
        <f>IF(AND(CD2&gt;=FIRST_CLOSING_M,CD2&lt;FIRST_CLOSING_M+CLOSINGS_SPAN_M),ROUNDDOWN(UNITS_PH/CLOSINGS_SPAN_M,0)+IF(CD2-FIRST_CLOSING_M+1&lt;=UNITS_PH-ROUNDDOWN(UNITS_PH/CLOSINGS_SPAN_M,0)*CLOSINGS_SPAN_M,1,0),0)</f>
        <v/>
      </c>
      <c r="CE8" s="10">
        <f>IF(AND(CE2&gt;=FIRST_CLOSING_M,CE2&lt;FIRST_CLOSING_M+CLOSINGS_SPAN_M),ROUNDDOWN(UNITS_PH/CLOSINGS_SPAN_M,0)+IF(CE2-FIRST_CLOSING_M+1&lt;=UNITS_PH-ROUNDDOWN(UNITS_PH/CLOSINGS_SPAN_M,0)*CLOSINGS_SPAN_M,1,0),0)</f>
        <v/>
      </c>
      <c r="CF8" s="10">
        <f>IF(AND(CF2&gt;=FIRST_CLOSING_M,CF2&lt;FIRST_CLOSING_M+CLOSINGS_SPAN_M),ROUNDDOWN(UNITS_PH/CLOSINGS_SPAN_M,0)+IF(CF2-FIRST_CLOSING_M+1&lt;=UNITS_PH-ROUNDDOWN(UNITS_PH/CLOSINGS_SPAN_M,0)*CLOSINGS_SPAN_M,1,0),0)</f>
        <v/>
      </c>
      <c r="CG8" s="10">
        <f>IF(AND(CG2&gt;=FIRST_CLOSING_M,CG2&lt;FIRST_CLOSING_M+CLOSINGS_SPAN_M),ROUNDDOWN(UNITS_PH/CLOSINGS_SPAN_M,0)+IF(CG2-FIRST_CLOSING_M+1&lt;=UNITS_PH-ROUNDDOWN(UNITS_PH/CLOSINGS_SPAN_M,0)*CLOSINGS_SPAN_M,1,0),0)</f>
        <v/>
      </c>
      <c r="CH8" s="10">
        <f>IF(AND(CH2&gt;=FIRST_CLOSING_M,CH2&lt;FIRST_CLOSING_M+CLOSINGS_SPAN_M),ROUNDDOWN(UNITS_PH/CLOSINGS_SPAN_M,0)+IF(CH2-FIRST_CLOSING_M+1&lt;=UNITS_PH-ROUNDDOWN(UNITS_PH/CLOSINGS_SPAN_M,0)*CLOSINGS_SPAN_M,1,0),0)</f>
        <v/>
      </c>
    </row>
    <row r="9">
      <c r="A9" s="3" t="inlineStr">
        <is>
          <t>Total unit closings</t>
        </is>
      </c>
      <c r="B9" s="4" t="inlineStr">
        <is>
          <t>units</t>
        </is>
      </c>
      <c r="C9" s="10">
        <f>C4+C5+C6+C7+C8</f>
        <v/>
      </c>
      <c r="D9" s="10">
        <f>D4+D5+D6+D7+D8</f>
        <v/>
      </c>
      <c r="E9" s="10">
        <f>E4+E5+E6+E7+E8</f>
        <v/>
      </c>
      <c r="F9" s="10">
        <f>F4+F5+F6+F7+F8</f>
        <v/>
      </c>
      <c r="G9" s="10">
        <f>G4+G5+G6+G7+G8</f>
        <v/>
      </c>
      <c r="H9" s="10">
        <f>H4+H5+H6+H7+H8</f>
        <v/>
      </c>
      <c r="I9" s="10">
        <f>I4+I5+I6+I7+I8</f>
        <v/>
      </c>
      <c r="J9" s="10">
        <f>J4+J5+J6+J7+J8</f>
        <v/>
      </c>
      <c r="K9" s="10">
        <f>K4+K5+K6+K7+K8</f>
        <v/>
      </c>
      <c r="L9" s="10">
        <f>L4+L5+L6+L7+L8</f>
        <v/>
      </c>
      <c r="M9" s="10">
        <f>M4+M5+M6+M7+M8</f>
        <v/>
      </c>
      <c r="N9" s="10">
        <f>N4+N5+N6+N7+N8</f>
        <v/>
      </c>
      <c r="O9" s="10">
        <f>O4+O5+O6+O7+O8</f>
        <v/>
      </c>
      <c r="P9" s="10">
        <f>P4+P5+P6+P7+P8</f>
        <v/>
      </c>
      <c r="Q9" s="10">
        <f>Q4+Q5+Q6+Q7+Q8</f>
        <v/>
      </c>
      <c r="R9" s="10">
        <f>R4+R5+R6+R7+R8</f>
        <v/>
      </c>
      <c r="S9" s="10">
        <f>S4+S5+S6+S7+S8</f>
        <v/>
      </c>
      <c r="T9" s="10">
        <f>T4+T5+T6+T7+T8</f>
        <v/>
      </c>
      <c r="U9" s="10">
        <f>U4+U5+U6+U7+U8</f>
        <v/>
      </c>
      <c r="V9" s="10">
        <f>V4+V5+V6+V7+V8</f>
        <v/>
      </c>
      <c r="W9" s="10">
        <f>W4+W5+W6+W7+W8</f>
        <v/>
      </c>
      <c r="X9" s="10">
        <f>X4+X5+X6+X7+X8</f>
        <v/>
      </c>
      <c r="Y9" s="10">
        <f>Y4+Y5+Y6+Y7+Y8</f>
        <v/>
      </c>
      <c r="Z9" s="10">
        <f>Z4+Z5+Z6+Z7+Z8</f>
        <v/>
      </c>
      <c r="AA9" s="10">
        <f>AA4+AA5+AA6+AA7+AA8</f>
        <v/>
      </c>
      <c r="AB9" s="10">
        <f>AB4+AB5+AB6+AB7+AB8</f>
        <v/>
      </c>
      <c r="AC9" s="10">
        <f>AC4+AC5+AC6+AC7+AC8</f>
        <v/>
      </c>
      <c r="AD9" s="10">
        <f>AD4+AD5+AD6+AD7+AD8</f>
        <v/>
      </c>
      <c r="AE9" s="10">
        <f>AE4+AE5+AE6+AE7+AE8</f>
        <v/>
      </c>
      <c r="AF9" s="10">
        <f>AF4+AF5+AF6+AF7+AF8</f>
        <v/>
      </c>
      <c r="AG9" s="10">
        <f>AG4+AG5+AG6+AG7+AG8</f>
        <v/>
      </c>
      <c r="AH9" s="10">
        <f>AH4+AH5+AH6+AH7+AH8</f>
        <v/>
      </c>
      <c r="AI9" s="10">
        <f>AI4+AI5+AI6+AI7+AI8</f>
        <v/>
      </c>
      <c r="AJ9" s="10">
        <f>AJ4+AJ5+AJ6+AJ7+AJ8</f>
        <v/>
      </c>
      <c r="AK9" s="10">
        <f>AK4+AK5+AK6+AK7+AK8</f>
        <v/>
      </c>
      <c r="AL9" s="10">
        <f>AL4+AL5+AL6+AL7+AL8</f>
        <v/>
      </c>
      <c r="AM9" s="10">
        <f>AM4+AM5+AM6+AM7+AM8</f>
        <v/>
      </c>
      <c r="AN9" s="10">
        <f>AN4+AN5+AN6+AN7+AN8</f>
        <v/>
      </c>
      <c r="AO9" s="10">
        <f>AO4+AO5+AO6+AO7+AO8</f>
        <v/>
      </c>
      <c r="AP9" s="10">
        <f>AP4+AP5+AP6+AP7+AP8</f>
        <v/>
      </c>
      <c r="AQ9" s="10">
        <f>AQ4+AQ5+AQ6+AQ7+AQ8</f>
        <v/>
      </c>
      <c r="AR9" s="10">
        <f>AR4+AR5+AR6+AR7+AR8</f>
        <v/>
      </c>
      <c r="AS9" s="10">
        <f>AS4+AS5+AS6+AS7+AS8</f>
        <v/>
      </c>
      <c r="AT9" s="10">
        <f>AT4+AT5+AT6+AT7+AT8</f>
        <v/>
      </c>
      <c r="AU9" s="10">
        <f>AU4+AU5+AU6+AU7+AU8</f>
        <v/>
      </c>
      <c r="AV9" s="10">
        <f>AV4+AV5+AV6+AV7+AV8</f>
        <v/>
      </c>
      <c r="AW9" s="10">
        <f>AW4+AW5+AW6+AW7+AW8</f>
        <v/>
      </c>
      <c r="AX9" s="10">
        <f>AX4+AX5+AX6+AX7+AX8</f>
        <v/>
      </c>
      <c r="AY9" s="10">
        <f>AY4+AY5+AY6+AY7+AY8</f>
        <v/>
      </c>
      <c r="AZ9" s="10">
        <f>AZ4+AZ5+AZ6+AZ7+AZ8</f>
        <v/>
      </c>
      <c r="BA9" s="10">
        <f>BA4+BA5+BA6+BA7+BA8</f>
        <v/>
      </c>
      <c r="BB9" s="10">
        <f>BB4+BB5+BB6+BB7+BB8</f>
        <v/>
      </c>
      <c r="BC9" s="10">
        <f>BC4+BC5+BC6+BC7+BC8</f>
        <v/>
      </c>
      <c r="BD9" s="10">
        <f>BD4+BD5+BD6+BD7+BD8</f>
        <v/>
      </c>
      <c r="BE9" s="10">
        <f>BE4+BE5+BE6+BE7+BE8</f>
        <v/>
      </c>
      <c r="BF9" s="10">
        <f>BF4+BF5+BF6+BF7+BF8</f>
        <v/>
      </c>
      <c r="BG9" s="10">
        <f>BG4+BG5+BG6+BG7+BG8</f>
        <v/>
      </c>
      <c r="BH9" s="10">
        <f>BH4+BH5+BH6+BH7+BH8</f>
        <v/>
      </c>
      <c r="BI9" s="10">
        <f>BI4+BI5+BI6+BI7+BI8</f>
        <v/>
      </c>
      <c r="BJ9" s="10">
        <f>BJ4+BJ5+BJ6+BJ7+BJ8</f>
        <v/>
      </c>
      <c r="BK9" s="10">
        <f>BK4+BK5+BK6+BK7+BK8</f>
        <v/>
      </c>
      <c r="BL9" s="10">
        <f>BL4+BL5+BL6+BL7+BL8</f>
        <v/>
      </c>
      <c r="BM9" s="10">
        <f>BM4+BM5+BM6+BM7+BM8</f>
        <v/>
      </c>
      <c r="BN9" s="10">
        <f>BN4+BN5+BN6+BN7+BN8</f>
        <v/>
      </c>
      <c r="BO9" s="10">
        <f>BO4+BO5+BO6+BO7+BO8</f>
        <v/>
      </c>
      <c r="BP9" s="10">
        <f>BP4+BP5+BP6+BP7+BP8</f>
        <v/>
      </c>
      <c r="BQ9" s="10">
        <f>BQ4+BQ5+BQ6+BQ7+BQ8</f>
        <v/>
      </c>
      <c r="BR9" s="10">
        <f>BR4+BR5+BR6+BR7+BR8</f>
        <v/>
      </c>
      <c r="BS9" s="10">
        <f>BS4+BS5+BS6+BS7+BS8</f>
        <v/>
      </c>
      <c r="BT9" s="10">
        <f>BT4+BT5+BT6+BT7+BT8</f>
        <v/>
      </c>
      <c r="BU9" s="10">
        <f>BU4+BU5+BU6+BU7+BU8</f>
        <v/>
      </c>
      <c r="BV9" s="10">
        <f>BV4+BV5+BV6+BV7+BV8</f>
        <v/>
      </c>
      <c r="BW9" s="10">
        <f>BW4+BW5+BW6+BW7+BW8</f>
        <v/>
      </c>
      <c r="BX9" s="10">
        <f>BX4+BX5+BX6+BX7+BX8</f>
        <v/>
      </c>
      <c r="BY9" s="10">
        <f>BY4+BY5+BY6+BY7+BY8</f>
        <v/>
      </c>
      <c r="BZ9" s="10">
        <f>BZ4+BZ5+BZ6+BZ7+BZ8</f>
        <v/>
      </c>
      <c r="CA9" s="10">
        <f>CA4+CA5+CA6+CA7+CA8</f>
        <v/>
      </c>
      <c r="CB9" s="10">
        <f>CB4+CB5+CB6+CB7+CB8</f>
        <v/>
      </c>
      <c r="CC9" s="10">
        <f>CC4+CC5+CC6+CC7+CC8</f>
        <v/>
      </c>
      <c r="CD9" s="10">
        <f>CD4+CD5+CD6+CD7+CD8</f>
        <v/>
      </c>
      <c r="CE9" s="10">
        <f>CE4+CE5+CE6+CE7+CE8</f>
        <v/>
      </c>
      <c r="CF9" s="10">
        <f>CF4+CF5+CF6+CF7+CF8</f>
        <v/>
      </c>
      <c r="CG9" s="10">
        <f>CG4+CG5+CG6+CG7+CG8</f>
        <v/>
      </c>
      <c r="CH9" s="10">
        <f>CH4+CH5+CH6+CH7+CH8</f>
        <v/>
      </c>
    </row>
    <row r="10">
      <c r="A10" s="3" t="inlineStr">
        <is>
          <t>Unit revenue</t>
        </is>
      </c>
      <c r="B10" s="4" t="inlineStr">
        <is>
          <t>$</t>
        </is>
      </c>
      <c r="C10" s="12">
        <f>C4*SQFT_STUDIO*PPSF_STUDIO+C5*SQFT_1BR*PPSF_1BR+C6*SQFT_2BR*PPSF_2BR+C7*SQFT_3BR*PPSF_3BR+C8*SQFT_PH*PPSF_PH</f>
        <v/>
      </c>
      <c r="D10" s="12">
        <f>D4*SQFT_STUDIO*PPSF_STUDIO+D5*SQFT_1BR*PPSF_1BR+D6*SQFT_2BR*PPSF_2BR+D7*SQFT_3BR*PPSF_3BR+D8*SQFT_PH*PPSF_PH</f>
        <v/>
      </c>
      <c r="E10" s="12">
        <f>E4*SQFT_STUDIO*PPSF_STUDIO+E5*SQFT_1BR*PPSF_1BR+E6*SQFT_2BR*PPSF_2BR+E7*SQFT_3BR*PPSF_3BR+E8*SQFT_PH*PPSF_PH</f>
        <v/>
      </c>
      <c r="F10" s="12">
        <f>F4*SQFT_STUDIO*PPSF_STUDIO+F5*SQFT_1BR*PPSF_1BR+F6*SQFT_2BR*PPSF_2BR+F7*SQFT_3BR*PPSF_3BR+F8*SQFT_PH*PPSF_PH</f>
        <v/>
      </c>
      <c r="G10" s="12">
        <f>G4*SQFT_STUDIO*PPSF_STUDIO+G5*SQFT_1BR*PPSF_1BR+G6*SQFT_2BR*PPSF_2BR+G7*SQFT_3BR*PPSF_3BR+G8*SQFT_PH*PPSF_PH</f>
        <v/>
      </c>
      <c r="H10" s="12">
        <f>H4*SQFT_STUDIO*PPSF_STUDIO+H5*SQFT_1BR*PPSF_1BR+H6*SQFT_2BR*PPSF_2BR+H7*SQFT_3BR*PPSF_3BR+H8*SQFT_PH*PPSF_PH</f>
        <v/>
      </c>
      <c r="I10" s="12">
        <f>I4*SQFT_STUDIO*PPSF_STUDIO+I5*SQFT_1BR*PPSF_1BR+I6*SQFT_2BR*PPSF_2BR+I7*SQFT_3BR*PPSF_3BR+I8*SQFT_PH*PPSF_PH</f>
        <v/>
      </c>
      <c r="J10" s="12">
        <f>J4*SQFT_STUDIO*PPSF_STUDIO+J5*SQFT_1BR*PPSF_1BR+J6*SQFT_2BR*PPSF_2BR+J7*SQFT_3BR*PPSF_3BR+J8*SQFT_PH*PPSF_PH</f>
        <v/>
      </c>
      <c r="K10" s="12">
        <f>K4*SQFT_STUDIO*PPSF_STUDIO+K5*SQFT_1BR*PPSF_1BR+K6*SQFT_2BR*PPSF_2BR+K7*SQFT_3BR*PPSF_3BR+K8*SQFT_PH*PPSF_PH</f>
        <v/>
      </c>
      <c r="L10" s="12">
        <f>L4*SQFT_STUDIO*PPSF_STUDIO+L5*SQFT_1BR*PPSF_1BR+L6*SQFT_2BR*PPSF_2BR+L7*SQFT_3BR*PPSF_3BR+L8*SQFT_PH*PPSF_PH</f>
        <v/>
      </c>
      <c r="M10" s="12">
        <f>M4*SQFT_STUDIO*PPSF_STUDIO+M5*SQFT_1BR*PPSF_1BR+M6*SQFT_2BR*PPSF_2BR+M7*SQFT_3BR*PPSF_3BR+M8*SQFT_PH*PPSF_PH</f>
        <v/>
      </c>
      <c r="N10" s="12">
        <f>N4*SQFT_STUDIO*PPSF_STUDIO+N5*SQFT_1BR*PPSF_1BR+N6*SQFT_2BR*PPSF_2BR+N7*SQFT_3BR*PPSF_3BR+N8*SQFT_PH*PPSF_PH</f>
        <v/>
      </c>
      <c r="O10" s="12">
        <f>O4*SQFT_STUDIO*PPSF_STUDIO+O5*SQFT_1BR*PPSF_1BR+O6*SQFT_2BR*PPSF_2BR+O7*SQFT_3BR*PPSF_3BR+O8*SQFT_PH*PPSF_PH</f>
        <v/>
      </c>
      <c r="P10" s="12">
        <f>P4*SQFT_STUDIO*PPSF_STUDIO+P5*SQFT_1BR*PPSF_1BR+P6*SQFT_2BR*PPSF_2BR+P7*SQFT_3BR*PPSF_3BR+P8*SQFT_PH*PPSF_PH</f>
        <v/>
      </c>
      <c r="Q10" s="12">
        <f>Q4*SQFT_STUDIO*PPSF_STUDIO+Q5*SQFT_1BR*PPSF_1BR+Q6*SQFT_2BR*PPSF_2BR+Q7*SQFT_3BR*PPSF_3BR+Q8*SQFT_PH*PPSF_PH</f>
        <v/>
      </c>
      <c r="R10" s="12">
        <f>R4*SQFT_STUDIO*PPSF_STUDIO+R5*SQFT_1BR*PPSF_1BR+R6*SQFT_2BR*PPSF_2BR+R7*SQFT_3BR*PPSF_3BR+R8*SQFT_PH*PPSF_PH</f>
        <v/>
      </c>
      <c r="S10" s="12">
        <f>S4*SQFT_STUDIO*PPSF_STUDIO+S5*SQFT_1BR*PPSF_1BR+S6*SQFT_2BR*PPSF_2BR+S7*SQFT_3BR*PPSF_3BR+S8*SQFT_PH*PPSF_PH</f>
        <v/>
      </c>
      <c r="T10" s="12">
        <f>T4*SQFT_STUDIO*PPSF_STUDIO+T5*SQFT_1BR*PPSF_1BR+T6*SQFT_2BR*PPSF_2BR+T7*SQFT_3BR*PPSF_3BR+T8*SQFT_PH*PPSF_PH</f>
        <v/>
      </c>
      <c r="U10" s="12">
        <f>U4*SQFT_STUDIO*PPSF_STUDIO+U5*SQFT_1BR*PPSF_1BR+U6*SQFT_2BR*PPSF_2BR+U7*SQFT_3BR*PPSF_3BR+U8*SQFT_PH*PPSF_PH</f>
        <v/>
      </c>
      <c r="V10" s="12">
        <f>V4*SQFT_STUDIO*PPSF_STUDIO+V5*SQFT_1BR*PPSF_1BR+V6*SQFT_2BR*PPSF_2BR+V7*SQFT_3BR*PPSF_3BR+V8*SQFT_PH*PPSF_PH</f>
        <v/>
      </c>
      <c r="W10" s="12">
        <f>W4*SQFT_STUDIO*PPSF_STUDIO+W5*SQFT_1BR*PPSF_1BR+W6*SQFT_2BR*PPSF_2BR+W7*SQFT_3BR*PPSF_3BR+W8*SQFT_PH*PPSF_PH</f>
        <v/>
      </c>
      <c r="X10" s="12">
        <f>X4*SQFT_STUDIO*PPSF_STUDIO+X5*SQFT_1BR*PPSF_1BR+X6*SQFT_2BR*PPSF_2BR+X7*SQFT_3BR*PPSF_3BR+X8*SQFT_PH*PPSF_PH</f>
        <v/>
      </c>
      <c r="Y10" s="12">
        <f>Y4*SQFT_STUDIO*PPSF_STUDIO+Y5*SQFT_1BR*PPSF_1BR+Y6*SQFT_2BR*PPSF_2BR+Y7*SQFT_3BR*PPSF_3BR+Y8*SQFT_PH*PPSF_PH</f>
        <v/>
      </c>
      <c r="Z10" s="12">
        <f>Z4*SQFT_STUDIO*PPSF_STUDIO+Z5*SQFT_1BR*PPSF_1BR+Z6*SQFT_2BR*PPSF_2BR+Z7*SQFT_3BR*PPSF_3BR+Z8*SQFT_PH*PPSF_PH</f>
        <v/>
      </c>
      <c r="AA10" s="12">
        <f>AA4*SQFT_STUDIO*PPSF_STUDIO+AA5*SQFT_1BR*PPSF_1BR+AA6*SQFT_2BR*PPSF_2BR+AA7*SQFT_3BR*PPSF_3BR+AA8*SQFT_PH*PPSF_PH</f>
        <v/>
      </c>
      <c r="AB10" s="12">
        <f>AB4*SQFT_STUDIO*PPSF_STUDIO+AB5*SQFT_1BR*PPSF_1BR+AB6*SQFT_2BR*PPSF_2BR+AB7*SQFT_3BR*PPSF_3BR+AB8*SQFT_PH*PPSF_PH</f>
        <v/>
      </c>
      <c r="AC10" s="12">
        <f>AC4*SQFT_STUDIO*PPSF_STUDIO+AC5*SQFT_1BR*PPSF_1BR+AC6*SQFT_2BR*PPSF_2BR+AC7*SQFT_3BR*PPSF_3BR+AC8*SQFT_PH*PPSF_PH</f>
        <v/>
      </c>
      <c r="AD10" s="12">
        <f>AD4*SQFT_STUDIO*PPSF_STUDIO+AD5*SQFT_1BR*PPSF_1BR+AD6*SQFT_2BR*PPSF_2BR+AD7*SQFT_3BR*PPSF_3BR+AD8*SQFT_PH*PPSF_PH</f>
        <v/>
      </c>
      <c r="AE10" s="12">
        <f>AE4*SQFT_STUDIO*PPSF_STUDIO+AE5*SQFT_1BR*PPSF_1BR+AE6*SQFT_2BR*PPSF_2BR+AE7*SQFT_3BR*PPSF_3BR+AE8*SQFT_PH*PPSF_PH</f>
        <v/>
      </c>
      <c r="AF10" s="12">
        <f>AF4*SQFT_STUDIO*PPSF_STUDIO+AF5*SQFT_1BR*PPSF_1BR+AF6*SQFT_2BR*PPSF_2BR+AF7*SQFT_3BR*PPSF_3BR+AF8*SQFT_PH*PPSF_PH</f>
        <v/>
      </c>
      <c r="AG10" s="12">
        <f>AG4*SQFT_STUDIO*PPSF_STUDIO+AG5*SQFT_1BR*PPSF_1BR+AG6*SQFT_2BR*PPSF_2BR+AG7*SQFT_3BR*PPSF_3BR+AG8*SQFT_PH*PPSF_PH</f>
        <v/>
      </c>
      <c r="AH10" s="12">
        <f>AH4*SQFT_STUDIO*PPSF_STUDIO+AH5*SQFT_1BR*PPSF_1BR+AH6*SQFT_2BR*PPSF_2BR+AH7*SQFT_3BR*PPSF_3BR+AH8*SQFT_PH*PPSF_PH</f>
        <v/>
      </c>
      <c r="AI10" s="12">
        <f>AI4*SQFT_STUDIO*PPSF_STUDIO+AI5*SQFT_1BR*PPSF_1BR+AI6*SQFT_2BR*PPSF_2BR+AI7*SQFT_3BR*PPSF_3BR+AI8*SQFT_PH*PPSF_PH</f>
        <v/>
      </c>
      <c r="AJ10" s="12">
        <f>AJ4*SQFT_STUDIO*PPSF_STUDIO+AJ5*SQFT_1BR*PPSF_1BR+AJ6*SQFT_2BR*PPSF_2BR+AJ7*SQFT_3BR*PPSF_3BR+AJ8*SQFT_PH*PPSF_PH</f>
        <v/>
      </c>
      <c r="AK10" s="12">
        <f>AK4*SQFT_STUDIO*PPSF_STUDIO+AK5*SQFT_1BR*PPSF_1BR+AK6*SQFT_2BR*PPSF_2BR+AK7*SQFT_3BR*PPSF_3BR+AK8*SQFT_PH*PPSF_PH</f>
        <v/>
      </c>
      <c r="AL10" s="12">
        <f>AL4*SQFT_STUDIO*PPSF_STUDIO+AL5*SQFT_1BR*PPSF_1BR+AL6*SQFT_2BR*PPSF_2BR+AL7*SQFT_3BR*PPSF_3BR+AL8*SQFT_PH*PPSF_PH</f>
        <v/>
      </c>
      <c r="AM10" s="12">
        <f>AM4*SQFT_STUDIO*PPSF_STUDIO+AM5*SQFT_1BR*PPSF_1BR+AM6*SQFT_2BR*PPSF_2BR+AM7*SQFT_3BR*PPSF_3BR+AM8*SQFT_PH*PPSF_PH</f>
        <v/>
      </c>
      <c r="AN10" s="12">
        <f>AN4*SQFT_STUDIO*PPSF_STUDIO+AN5*SQFT_1BR*PPSF_1BR+AN6*SQFT_2BR*PPSF_2BR+AN7*SQFT_3BR*PPSF_3BR+AN8*SQFT_PH*PPSF_PH</f>
        <v/>
      </c>
      <c r="AO10" s="12">
        <f>AO4*SQFT_STUDIO*PPSF_STUDIO+AO5*SQFT_1BR*PPSF_1BR+AO6*SQFT_2BR*PPSF_2BR+AO7*SQFT_3BR*PPSF_3BR+AO8*SQFT_PH*PPSF_PH</f>
        <v/>
      </c>
      <c r="AP10" s="12">
        <f>AP4*SQFT_STUDIO*PPSF_STUDIO+AP5*SQFT_1BR*PPSF_1BR+AP6*SQFT_2BR*PPSF_2BR+AP7*SQFT_3BR*PPSF_3BR+AP8*SQFT_PH*PPSF_PH</f>
        <v/>
      </c>
      <c r="AQ10" s="12">
        <f>AQ4*SQFT_STUDIO*PPSF_STUDIO+AQ5*SQFT_1BR*PPSF_1BR+AQ6*SQFT_2BR*PPSF_2BR+AQ7*SQFT_3BR*PPSF_3BR+AQ8*SQFT_PH*PPSF_PH</f>
        <v/>
      </c>
      <c r="AR10" s="12">
        <f>AR4*SQFT_STUDIO*PPSF_STUDIO+AR5*SQFT_1BR*PPSF_1BR+AR6*SQFT_2BR*PPSF_2BR+AR7*SQFT_3BR*PPSF_3BR+AR8*SQFT_PH*PPSF_PH</f>
        <v/>
      </c>
      <c r="AS10" s="12">
        <f>AS4*SQFT_STUDIO*PPSF_STUDIO+AS5*SQFT_1BR*PPSF_1BR+AS6*SQFT_2BR*PPSF_2BR+AS7*SQFT_3BR*PPSF_3BR+AS8*SQFT_PH*PPSF_PH</f>
        <v/>
      </c>
      <c r="AT10" s="12">
        <f>AT4*SQFT_STUDIO*PPSF_STUDIO+AT5*SQFT_1BR*PPSF_1BR+AT6*SQFT_2BR*PPSF_2BR+AT7*SQFT_3BR*PPSF_3BR+AT8*SQFT_PH*PPSF_PH</f>
        <v/>
      </c>
      <c r="AU10" s="12">
        <f>AU4*SQFT_STUDIO*PPSF_STUDIO+AU5*SQFT_1BR*PPSF_1BR+AU6*SQFT_2BR*PPSF_2BR+AU7*SQFT_3BR*PPSF_3BR+AU8*SQFT_PH*PPSF_PH</f>
        <v/>
      </c>
      <c r="AV10" s="12">
        <f>AV4*SQFT_STUDIO*PPSF_STUDIO+AV5*SQFT_1BR*PPSF_1BR+AV6*SQFT_2BR*PPSF_2BR+AV7*SQFT_3BR*PPSF_3BR+AV8*SQFT_PH*PPSF_PH</f>
        <v/>
      </c>
      <c r="AW10" s="12">
        <f>AW4*SQFT_STUDIO*PPSF_STUDIO+AW5*SQFT_1BR*PPSF_1BR+AW6*SQFT_2BR*PPSF_2BR+AW7*SQFT_3BR*PPSF_3BR+AW8*SQFT_PH*PPSF_PH</f>
        <v/>
      </c>
      <c r="AX10" s="12">
        <f>AX4*SQFT_STUDIO*PPSF_STUDIO+AX5*SQFT_1BR*PPSF_1BR+AX6*SQFT_2BR*PPSF_2BR+AX7*SQFT_3BR*PPSF_3BR+AX8*SQFT_PH*PPSF_PH</f>
        <v/>
      </c>
      <c r="AY10" s="12">
        <f>AY4*SQFT_STUDIO*PPSF_STUDIO+AY5*SQFT_1BR*PPSF_1BR+AY6*SQFT_2BR*PPSF_2BR+AY7*SQFT_3BR*PPSF_3BR+AY8*SQFT_PH*PPSF_PH</f>
        <v/>
      </c>
      <c r="AZ10" s="12">
        <f>AZ4*SQFT_STUDIO*PPSF_STUDIO+AZ5*SQFT_1BR*PPSF_1BR+AZ6*SQFT_2BR*PPSF_2BR+AZ7*SQFT_3BR*PPSF_3BR+AZ8*SQFT_PH*PPSF_PH</f>
        <v/>
      </c>
      <c r="BA10" s="12">
        <f>BA4*SQFT_STUDIO*PPSF_STUDIO+BA5*SQFT_1BR*PPSF_1BR+BA6*SQFT_2BR*PPSF_2BR+BA7*SQFT_3BR*PPSF_3BR+BA8*SQFT_PH*PPSF_PH</f>
        <v/>
      </c>
      <c r="BB10" s="12">
        <f>BB4*SQFT_STUDIO*PPSF_STUDIO+BB5*SQFT_1BR*PPSF_1BR+BB6*SQFT_2BR*PPSF_2BR+BB7*SQFT_3BR*PPSF_3BR+BB8*SQFT_PH*PPSF_PH</f>
        <v/>
      </c>
      <c r="BC10" s="12">
        <f>BC4*SQFT_STUDIO*PPSF_STUDIO+BC5*SQFT_1BR*PPSF_1BR+BC6*SQFT_2BR*PPSF_2BR+BC7*SQFT_3BR*PPSF_3BR+BC8*SQFT_PH*PPSF_PH</f>
        <v/>
      </c>
      <c r="BD10" s="12">
        <f>BD4*SQFT_STUDIO*PPSF_STUDIO+BD5*SQFT_1BR*PPSF_1BR+BD6*SQFT_2BR*PPSF_2BR+BD7*SQFT_3BR*PPSF_3BR+BD8*SQFT_PH*PPSF_PH</f>
        <v/>
      </c>
      <c r="BE10" s="12">
        <f>BE4*SQFT_STUDIO*PPSF_STUDIO+BE5*SQFT_1BR*PPSF_1BR+BE6*SQFT_2BR*PPSF_2BR+BE7*SQFT_3BR*PPSF_3BR+BE8*SQFT_PH*PPSF_PH</f>
        <v/>
      </c>
      <c r="BF10" s="12">
        <f>BF4*SQFT_STUDIO*PPSF_STUDIO+BF5*SQFT_1BR*PPSF_1BR+BF6*SQFT_2BR*PPSF_2BR+BF7*SQFT_3BR*PPSF_3BR+BF8*SQFT_PH*PPSF_PH</f>
        <v/>
      </c>
      <c r="BG10" s="12">
        <f>BG4*SQFT_STUDIO*PPSF_STUDIO+BG5*SQFT_1BR*PPSF_1BR+BG6*SQFT_2BR*PPSF_2BR+BG7*SQFT_3BR*PPSF_3BR+BG8*SQFT_PH*PPSF_PH</f>
        <v/>
      </c>
      <c r="BH10" s="12">
        <f>BH4*SQFT_STUDIO*PPSF_STUDIO+BH5*SQFT_1BR*PPSF_1BR+BH6*SQFT_2BR*PPSF_2BR+BH7*SQFT_3BR*PPSF_3BR+BH8*SQFT_PH*PPSF_PH</f>
        <v/>
      </c>
      <c r="BI10" s="12">
        <f>BI4*SQFT_STUDIO*PPSF_STUDIO+BI5*SQFT_1BR*PPSF_1BR+BI6*SQFT_2BR*PPSF_2BR+BI7*SQFT_3BR*PPSF_3BR+BI8*SQFT_PH*PPSF_PH</f>
        <v/>
      </c>
      <c r="BJ10" s="12">
        <f>BJ4*SQFT_STUDIO*PPSF_STUDIO+BJ5*SQFT_1BR*PPSF_1BR+BJ6*SQFT_2BR*PPSF_2BR+BJ7*SQFT_3BR*PPSF_3BR+BJ8*SQFT_PH*PPSF_PH</f>
        <v/>
      </c>
      <c r="BK10" s="12">
        <f>BK4*SQFT_STUDIO*PPSF_STUDIO+BK5*SQFT_1BR*PPSF_1BR+BK6*SQFT_2BR*PPSF_2BR+BK7*SQFT_3BR*PPSF_3BR+BK8*SQFT_PH*PPSF_PH</f>
        <v/>
      </c>
      <c r="BL10" s="12">
        <f>BL4*SQFT_STUDIO*PPSF_STUDIO+BL5*SQFT_1BR*PPSF_1BR+BL6*SQFT_2BR*PPSF_2BR+BL7*SQFT_3BR*PPSF_3BR+BL8*SQFT_PH*PPSF_PH</f>
        <v/>
      </c>
      <c r="BM10" s="12">
        <f>BM4*SQFT_STUDIO*PPSF_STUDIO+BM5*SQFT_1BR*PPSF_1BR+BM6*SQFT_2BR*PPSF_2BR+BM7*SQFT_3BR*PPSF_3BR+BM8*SQFT_PH*PPSF_PH</f>
        <v/>
      </c>
      <c r="BN10" s="12">
        <f>BN4*SQFT_STUDIO*PPSF_STUDIO+BN5*SQFT_1BR*PPSF_1BR+BN6*SQFT_2BR*PPSF_2BR+BN7*SQFT_3BR*PPSF_3BR+BN8*SQFT_PH*PPSF_PH</f>
        <v/>
      </c>
      <c r="BO10" s="12">
        <f>BO4*SQFT_STUDIO*PPSF_STUDIO+BO5*SQFT_1BR*PPSF_1BR+BO6*SQFT_2BR*PPSF_2BR+BO7*SQFT_3BR*PPSF_3BR+BO8*SQFT_PH*PPSF_PH</f>
        <v/>
      </c>
      <c r="BP10" s="12">
        <f>BP4*SQFT_STUDIO*PPSF_STUDIO+BP5*SQFT_1BR*PPSF_1BR+BP6*SQFT_2BR*PPSF_2BR+BP7*SQFT_3BR*PPSF_3BR+BP8*SQFT_PH*PPSF_PH</f>
        <v/>
      </c>
      <c r="BQ10" s="12">
        <f>BQ4*SQFT_STUDIO*PPSF_STUDIO+BQ5*SQFT_1BR*PPSF_1BR+BQ6*SQFT_2BR*PPSF_2BR+BQ7*SQFT_3BR*PPSF_3BR+BQ8*SQFT_PH*PPSF_PH</f>
        <v/>
      </c>
      <c r="BR10" s="12">
        <f>BR4*SQFT_STUDIO*PPSF_STUDIO+BR5*SQFT_1BR*PPSF_1BR+BR6*SQFT_2BR*PPSF_2BR+BR7*SQFT_3BR*PPSF_3BR+BR8*SQFT_PH*PPSF_PH</f>
        <v/>
      </c>
      <c r="BS10" s="12">
        <f>BS4*SQFT_STUDIO*PPSF_STUDIO+BS5*SQFT_1BR*PPSF_1BR+BS6*SQFT_2BR*PPSF_2BR+BS7*SQFT_3BR*PPSF_3BR+BS8*SQFT_PH*PPSF_PH</f>
        <v/>
      </c>
      <c r="BT10" s="12">
        <f>BT4*SQFT_STUDIO*PPSF_STUDIO+BT5*SQFT_1BR*PPSF_1BR+BT6*SQFT_2BR*PPSF_2BR+BT7*SQFT_3BR*PPSF_3BR+BT8*SQFT_PH*PPSF_PH</f>
        <v/>
      </c>
      <c r="BU10" s="12">
        <f>BU4*SQFT_STUDIO*PPSF_STUDIO+BU5*SQFT_1BR*PPSF_1BR+BU6*SQFT_2BR*PPSF_2BR+BU7*SQFT_3BR*PPSF_3BR+BU8*SQFT_PH*PPSF_PH</f>
        <v/>
      </c>
      <c r="BV10" s="12">
        <f>BV4*SQFT_STUDIO*PPSF_STUDIO+BV5*SQFT_1BR*PPSF_1BR+BV6*SQFT_2BR*PPSF_2BR+BV7*SQFT_3BR*PPSF_3BR+BV8*SQFT_PH*PPSF_PH</f>
        <v/>
      </c>
      <c r="BW10" s="12">
        <f>BW4*SQFT_STUDIO*PPSF_STUDIO+BW5*SQFT_1BR*PPSF_1BR+BW6*SQFT_2BR*PPSF_2BR+BW7*SQFT_3BR*PPSF_3BR+BW8*SQFT_PH*PPSF_PH</f>
        <v/>
      </c>
      <c r="BX10" s="12">
        <f>BX4*SQFT_STUDIO*PPSF_STUDIO+BX5*SQFT_1BR*PPSF_1BR+BX6*SQFT_2BR*PPSF_2BR+BX7*SQFT_3BR*PPSF_3BR+BX8*SQFT_PH*PPSF_PH</f>
        <v/>
      </c>
      <c r="BY10" s="12">
        <f>BY4*SQFT_STUDIO*PPSF_STUDIO+BY5*SQFT_1BR*PPSF_1BR+BY6*SQFT_2BR*PPSF_2BR+BY7*SQFT_3BR*PPSF_3BR+BY8*SQFT_PH*PPSF_PH</f>
        <v/>
      </c>
      <c r="BZ10" s="12">
        <f>BZ4*SQFT_STUDIO*PPSF_STUDIO+BZ5*SQFT_1BR*PPSF_1BR+BZ6*SQFT_2BR*PPSF_2BR+BZ7*SQFT_3BR*PPSF_3BR+BZ8*SQFT_PH*PPSF_PH</f>
        <v/>
      </c>
      <c r="CA10" s="12">
        <f>CA4*SQFT_STUDIO*PPSF_STUDIO+CA5*SQFT_1BR*PPSF_1BR+CA6*SQFT_2BR*PPSF_2BR+CA7*SQFT_3BR*PPSF_3BR+CA8*SQFT_PH*PPSF_PH</f>
        <v/>
      </c>
      <c r="CB10" s="12">
        <f>CB4*SQFT_STUDIO*PPSF_STUDIO+CB5*SQFT_1BR*PPSF_1BR+CB6*SQFT_2BR*PPSF_2BR+CB7*SQFT_3BR*PPSF_3BR+CB8*SQFT_PH*PPSF_PH</f>
        <v/>
      </c>
      <c r="CC10" s="12">
        <f>CC4*SQFT_STUDIO*PPSF_STUDIO+CC5*SQFT_1BR*PPSF_1BR+CC6*SQFT_2BR*PPSF_2BR+CC7*SQFT_3BR*PPSF_3BR+CC8*SQFT_PH*PPSF_PH</f>
        <v/>
      </c>
      <c r="CD10" s="12">
        <f>CD4*SQFT_STUDIO*PPSF_STUDIO+CD5*SQFT_1BR*PPSF_1BR+CD6*SQFT_2BR*PPSF_2BR+CD7*SQFT_3BR*PPSF_3BR+CD8*SQFT_PH*PPSF_PH</f>
        <v/>
      </c>
      <c r="CE10" s="12">
        <f>CE4*SQFT_STUDIO*PPSF_STUDIO+CE5*SQFT_1BR*PPSF_1BR+CE6*SQFT_2BR*PPSF_2BR+CE7*SQFT_3BR*PPSF_3BR+CE8*SQFT_PH*PPSF_PH</f>
        <v/>
      </c>
      <c r="CF10" s="12">
        <f>CF4*SQFT_STUDIO*PPSF_STUDIO+CF5*SQFT_1BR*PPSF_1BR+CF6*SQFT_2BR*PPSF_2BR+CF7*SQFT_3BR*PPSF_3BR+CF8*SQFT_PH*PPSF_PH</f>
        <v/>
      </c>
      <c r="CG10" s="12">
        <f>CG4*SQFT_STUDIO*PPSF_STUDIO+CG5*SQFT_1BR*PPSF_1BR+CG6*SQFT_2BR*PPSF_2BR+CG7*SQFT_3BR*PPSF_3BR+CG8*SQFT_PH*PPSF_PH</f>
        <v/>
      </c>
      <c r="CH10" s="12">
        <f>CH4*SQFT_STUDIO*PPSF_STUDIO+CH5*SQFT_1BR*PPSF_1BR+CH6*SQFT_2BR*PPSF_2BR+CH7*SQFT_3BR*PPSF_3BR+CH8*SQFT_PH*PPSF_PH</f>
        <v/>
      </c>
    </row>
    <row r="11">
      <c r="A11" s="3" t="inlineStr">
        <is>
          <t>Parking spaces released</t>
        </is>
      </c>
      <c r="B11" s="4" t="inlineStr">
        <is>
          <t>spaces</t>
        </is>
      </c>
      <c r="C11" s="14">
        <f>PARKING_SPACES*C9/(UNITS_STUDIO+UNITS_1BR+UNITS_2BR+UNITS_3BR+UNITS_PH)</f>
        <v/>
      </c>
      <c r="D11" s="14">
        <f>PARKING_SPACES*D9/(UNITS_STUDIO+UNITS_1BR+UNITS_2BR+UNITS_3BR+UNITS_PH)</f>
        <v/>
      </c>
      <c r="E11" s="14">
        <f>PARKING_SPACES*E9/(UNITS_STUDIO+UNITS_1BR+UNITS_2BR+UNITS_3BR+UNITS_PH)</f>
        <v/>
      </c>
      <c r="F11" s="14">
        <f>PARKING_SPACES*F9/(UNITS_STUDIO+UNITS_1BR+UNITS_2BR+UNITS_3BR+UNITS_PH)</f>
        <v/>
      </c>
      <c r="G11" s="14">
        <f>PARKING_SPACES*G9/(UNITS_STUDIO+UNITS_1BR+UNITS_2BR+UNITS_3BR+UNITS_PH)</f>
        <v/>
      </c>
      <c r="H11" s="14">
        <f>PARKING_SPACES*H9/(UNITS_STUDIO+UNITS_1BR+UNITS_2BR+UNITS_3BR+UNITS_PH)</f>
        <v/>
      </c>
      <c r="I11" s="14">
        <f>PARKING_SPACES*I9/(UNITS_STUDIO+UNITS_1BR+UNITS_2BR+UNITS_3BR+UNITS_PH)</f>
        <v/>
      </c>
      <c r="J11" s="14">
        <f>PARKING_SPACES*J9/(UNITS_STUDIO+UNITS_1BR+UNITS_2BR+UNITS_3BR+UNITS_PH)</f>
        <v/>
      </c>
      <c r="K11" s="14">
        <f>PARKING_SPACES*K9/(UNITS_STUDIO+UNITS_1BR+UNITS_2BR+UNITS_3BR+UNITS_PH)</f>
        <v/>
      </c>
      <c r="L11" s="14">
        <f>PARKING_SPACES*L9/(UNITS_STUDIO+UNITS_1BR+UNITS_2BR+UNITS_3BR+UNITS_PH)</f>
        <v/>
      </c>
      <c r="M11" s="14">
        <f>PARKING_SPACES*M9/(UNITS_STUDIO+UNITS_1BR+UNITS_2BR+UNITS_3BR+UNITS_PH)</f>
        <v/>
      </c>
      <c r="N11" s="14">
        <f>PARKING_SPACES*N9/(UNITS_STUDIO+UNITS_1BR+UNITS_2BR+UNITS_3BR+UNITS_PH)</f>
        <v/>
      </c>
      <c r="O11" s="14">
        <f>PARKING_SPACES*O9/(UNITS_STUDIO+UNITS_1BR+UNITS_2BR+UNITS_3BR+UNITS_PH)</f>
        <v/>
      </c>
      <c r="P11" s="14">
        <f>PARKING_SPACES*P9/(UNITS_STUDIO+UNITS_1BR+UNITS_2BR+UNITS_3BR+UNITS_PH)</f>
        <v/>
      </c>
      <c r="Q11" s="14">
        <f>PARKING_SPACES*Q9/(UNITS_STUDIO+UNITS_1BR+UNITS_2BR+UNITS_3BR+UNITS_PH)</f>
        <v/>
      </c>
      <c r="R11" s="14">
        <f>PARKING_SPACES*R9/(UNITS_STUDIO+UNITS_1BR+UNITS_2BR+UNITS_3BR+UNITS_PH)</f>
        <v/>
      </c>
      <c r="S11" s="14">
        <f>PARKING_SPACES*S9/(UNITS_STUDIO+UNITS_1BR+UNITS_2BR+UNITS_3BR+UNITS_PH)</f>
        <v/>
      </c>
      <c r="T11" s="14">
        <f>PARKING_SPACES*T9/(UNITS_STUDIO+UNITS_1BR+UNITS_2BR+UNITS_3BR+UNITS_PH)</f>
        <v/>
      </c>
      <c r="U11" s="14">
        <f>PARKING_SPACES*U9/(UNITS_STUDIO+UNITS_1BR+UNITS_2BR+UNITS_3BR+UNITS_PH)</f>
        <v/>
      </c>
      <c r="V11" s="14">
        <f>PARKING_SPACES*V9/(UNITS_STUDIO+UNITS_1BR+UNITS_2BR+UNITS_3BR+UNITS_PH)</f>
        <v/>
      </c>
      <c r="W11" s="14">
        <f>PARKING_SPACES*W9/(UNITS_STUDIO+UNITS_1BR+UNITS_2BR+UNITS_3BR+UNITS_PH)</f>
        <v/>
      </c>
      <c r="X11" s="14">
        <f>PARKING_SPACES*X9/(UNITS_STUDIO+UNITS_1BR+UNITS_2BR+UNITS_3BR+UNITS_PH)</f>
        <v/>
      </c>
      <c r="Y11" s="14">
        <f>PARKING_SPACES*Y9/(UNITS_STUDIO+UNITS_1BR+UNITS_2BR+UNITS_3BR+UNITS_PH)</f>
        <v/>
      </c>
      <c r="Z11" s="14">
        <f>PARKING_SPACES*Z9/(UNITS_STUDIO+UNITS_1BR+UNITS_2BR+UNITS_3BR+UNITS_PH)</f>
        <v/>
      </c>
      <c r="AA11" s="14">
        <f>PARKING_SPACES*AA9/(UNITS_STUDIO+UNITS_1BR+UNITS_2BR+UNITS_3BR+UNITS_PH)</f>
        <v/>
      </c>
      <c r="AB11" s="14">
        <f>PARKING_SPACES*AB9/(UNITS_STUDIO+UNITS_1BR+UNITS_2BR+UNITS_3BR+UNITS_PH)</f>
        <v/>
      </c>
      <c r="AC11" s="14">
        <f>PARKING_SPACES*AC9/(UNITS_STUDIO+UNITS_1BR+UNITS_2BR+UNITS_3BR+UNITS_PH)</f>
        <v/>
      </c>
      <c r="AD11" s="14">
        <f>PARKING_SPACES*AD9/(UNITS_STUDIO+UNITS_1BR+UNITS_2BR+UNITS_3BR+UNITS_PH)</f>
        <v/>
      </c>
      <c r="AE11" s="14">
        <f>PARKING_SPACES*AE9/(UNITS_STUDIO+UNITS_1BR+UNITS_2BR+UNITS_3BR+UNITS_PH)</f>
        <v/>
      </c>
      <c r="AF11" s="14">
        <f>PARKING_SPACES*AF9/(UNITS_STUDIO+UNITS_1BR+UNITS_2BR+UNITS_3BR+UNITS_PH)</f>
        <v/>
      </c>
      <c r="AG11" s="14">
        <f>PARKING_SPACES*AG9/(UNITS_STUDIO+UNITS_1BR+UNITS_2BR+UNITS_3BR+UNITS_PH)</f>
        <v/>
      </c>
      <c r="AH11" s="14">
        <f>PARKING_SPACES*AH9/(UNITS_STUDIO+UNITS_1BR+UNITS_2BR+UNITS_3BR+UNITS_PH)</f>
        <v/>
      </c>
      <c r="AI11" s="14">
        <f>PARKING_SPACES*AI9/(UNITS_STUDIO+UNITS_1BR+UNITS_2BR+UNITS_3BR+UNITS_PH)</f>
        <v/>
      </c>
      <c r="AJ11" s="14">
        <f>PARKING_SPACES*AJ9/(UNITS_STUDIO+UNITS_1BR+UNITS_2BR+UNITS_3BR+UNITS_PH)</f>
        <v/>
      </c>
      <c r="AK11" s="14">
        <f>PARKING_SPACES*AK9/(UNITS_STUDIO+UNITS_1BR+UNITS_2BR+UNITS_3BR+UNITS_PH)</f>
        <v/>
      </c>
      <c r="AL11" s="14">
        <f>PARKING_SPACES*AL9/(UNITS_STUDIO+UNITS_1BR+UNITS_2BR+UNITS_3BR+UNITS_PH)</f>
        <v/>
      </c>
      <c r="AM11" s="14">
        <f>PARKING_SPACES*AM9/(UNITS_STUDIO+UNITS_1BR+UNITS_2BR+UNITS_3BR+UNITS_PH)</f>
        <v/>
      </c>
      <c r="AN11" s="14">
        <f>PARKING_SPACES*AN9/(UNITS_STUDIO+UNITS_1BR+UNITS_2BR+UNITS_3BR+UNITS_PH)</f>
        <v/>
      </c>
      <c r="AO11" s="14">
        <f>PARKING_SPACES*AO9/(UNITS_STUDIO+UNITS_1BR+UNITS_2BR+UNITS_3BR+UNITS_PH)</f>
        <v/>
      </c>
      <c r="AP11" s="14">
        <f>PARKING_SPACES*AP9/(UNITS_STUDIO+UNITS_1BR+UNITS_2BR+UNITS_3BR+UNITS_PH)</f>
        <v/>
      </c>
      <c r="AQ11" s="14">
        <f>PARKING_SPACES*AQ9/(UNITS_STUDIO+UNITS_1BR+UNITS_2BR+UNITS_3BR+UNITS_PH)</f>
        <v/>
      </c>
      <c r="AR11" s="14">
        <f>PARKING_SPACES*AR9/(UNITS_STUDIO+UNITS_1BR+UNITS_2BR+UNITS_3BR+UNITS_PH)</f>
        <v/>
      </c>
      <c r="AS11" s="14">
        <f>PARKING_SPACES*AS9/(UNITS_STUDIO+UNITS_1BR+UNITS_2BR+UNITS_3BR+UNITS_PH)</f>
        <v/>
      </c>
      <c r="AT11" s="14">
        <f>PARKING_SPACES*AT9/(UNITS_STUDIO+UNITS_1BR+UNITS_2BR+UNITS_3BR+UNITS_PH)</f>
        <v/>
      </c>
      <c r="AU11" s="14">
        <f>PARKING_SPACES*AU9/(UNITS_STUDIO+UNITS_1BR+UNITS_2BR+UNITS_3BR+UNITS_PH)</f>
        <v/>
      </c>
      <c r="AV11" s="14">
        <f>PARKING_SPACES*AV9/(UNITS_STUDIO+UNITS_1BR+UNITS_2BR+UNITS_3BR+UNITS_PH)</f>
        <v/>
      </c>
      <c r="AW11" s="14">
        <f>PARKING_SPACES*AW9/(UNITS_STUDIO+UNITS_1BR+UNITS_2BR+UNITS_3BR+UNITS_PH)</f>
        <v/>
      </c>
      <c r="AX11" s="14">
        <f>PARKING_SPACES*AX9/(UNITS_STUDIO+UNITS_1BR+UNITS_2BR+UNITS_3BR+UNITS_PH)</f>
        <v/>
      </c>
      <c r="AY11" s="14">
        <f>PARKING_SPACES*AY9/(UNITS_STUDIO+UNITS_1BR+UNITS_2BR+UNITS_3BR+UNITS_PH)</f>
        <v/>
      </c>
      <c r="AZ11" s="14">
        <f>PARKING_SPACES*AZ9/(UNITS_STUDIO+UNITS_1BR+UNITS_2BR+UNITS_3BR+UNITS_PH)</f>
        <v/>
      </c>
      <c r="BA11" s="14">
        <f>PARKING_SPACES*BA9/(UNITS_STUDIO+UNITS_1BR+UNITS_2BR+UNITS_3BR+UNITS_PH)</f>
        <v/>
      </c>
      <c r="BB11" s="14">
        <f>PARKING_SPACES*BB9/(UNITS_STUDIO+UNITS_1BR+UNITS_2BR+UNITS_3BR+UNITS_PH)</f>
        <v/>
      </c>
      <c r="BC11" s="14">
        <f>PARKING_SPACES*BC9/(UNITS_STUDIO+UNITS_1BR+UNITS_2BR+UNITS_3BR+UNITS_PH)</f>
        <v/>
      </c>
      <c r="BD11" s="14">
        <f>PARKING_SPACES*BD9/(UNITS_STUDIO+UNITS_1BR+UNITS_2BR+UNITS_3BR+UNITS_PH)</f>
        <v/>
      </c>
      <c r="BE11" s="14">
        <f>PARKING_SPACES*BE9/(UNITS_STUDIO+UNITS_1BR+UNITS_2BR+UNITS_3BR+UNITS_PH)</f>
        <v/>
      </c>
      <c r="BF11" s="14">
        <f>PARKING_SPACES*BF9/(UNITS_STUDIO+UNITS_1BR+UNITS_2BR+UNITS_3BR+UNITS_PH)</f>
        <v/>
      </c>
      <c r="BG11" s="14">
        <f>PARKING_SPACES*BG9/(UNITS_STUDIO+UNITS_1BR+UNITS_2BR+UNITS_3BR+UNITS_PH)</f>
        <v/>
      </c>
      <c r="BH11" s="14">
        <f>PARKING_SPACES*BH9/(UNITS_STUDIO+UNITS_1BR+UNITS_2BR+UNITS_3BR+UNITS_PH)</f>
        <v/>
      </c>
      <c r="BI11" s="14">
        <f>PARKING_SPACES*BI9/(UNITS_STUDIO+UNITS_1BR+UNITS_2BR+UNITS_3BR+UNITS_PH)</f>
        <v/>
      </c>
      <c r="BJ11" s="14">
        <f>PARKING_SPACES*BJ9/(UNITS_STUDIO+UNITS_1BR+UNITS_2BR+UNITS_3BR+UNITS_PH)</f>
        <v/>
      </c>
      <c r="BK11" s="14">
        <f>PARKING_SPACES*BK9/(UNITS_STUDIO+UNITS_1BR+UNITS_2BR+UNITS_3BR+UNITS_PH)</f>
        <v/>
      </c>
      <c r="BL11" s="14">
        <f>PARKING_SPACES*BL9/(UNITS_STUDIO+UNITS_1BR+UNITS_2BR+UNITS_3BR+UNITS_PH)</f>
        <v/>
      </c>
      <c r="BM11" s="14">
        <f>PARKING_SPACES*BM9/(UNITS_STUDIO+UNITS_1BR+UNITS_2BR+UNITS_3BR+UNITS_PH)</f>
        <v/>
      </c>
      <c r="BN11" s="14">
        <f>PARKING_SPACES*BN9/(UNITS_STUDIO+UNITS_1BR+UNITS_2BR+UNITS_3BR+UNITS_PH)</f>
        <v/>
      </c>
      <c r="BO11" s="14">
        <f>PARKING_SPACES*BO9/(UNITS_STUDIO+UNITS_1BR+UNITS_2BR+UNITS_3BR+UNITS_PH)</f>
        <v/>
      </c>
      <c r="BP11" s="14">
        <f>PARKING_SPACES*BP9/(UNITS_STUDIO+UNITS_1BR+UNITS_2BR+UNITS_3BR+UNITS_PH)</f>
        <v/>
      </c>
      <c r="BQ11" s="14">
        <f>PARKING_SPACES*BQ9/(UNITS_STUDIO+UNITS_1BR+UNITS_2BR+UNITS_3BR+UNITS_PH)</f>
        <v/>
      </c>
      <c r="BR11" s="14">
        <f>PARKING_SPACES*BR9/(UNITS_STUDIO+UNITS_1BR+UNITS_2BR+UNITS_3BR+UNITS_PH)</f>
        <v/>
      </c>
      <c r="BS11" s="14">
        <f>PARKING_SPACES*BS9/(UNITS_STUDIO+UNITS_1BR+UNITS_2BR+UNITS_3BR+UNITS_PH)</f>
        <v/>
      </c>
      <c r="BT11" s="14">
        <f>PARKING_SPACES*BT9/(UNITS_STUDIO+UNITS_1BR+UNITS_2BR+UNITS_3BR+UNITS_PH)</f>
        <v/>
      </c>
      <c r="BU11" s="14">
        <f>PARKING_SPACES*BU9/(UNITS_STUDIO+UNITS_1BR+UNITS_2BR+UNITS_3BR+UNITS_PH)</f>
        <v/>
      </c>
      <c r="BV11" s="14">
        <f>PARKING_SPACES*BV9/(UNITS_STUDIO+UNITS_1BR+UNITS_2BR+UNITS_3BR+UNITS_PH)</f>
        <v/>
      </c>
      <c r="BW11" s="14">
        <f>PARKING_SPACES*BW9/(UNITS_STUDIO+UNITS_1BR+UNITS_2BR+UNITS_3BR+UNITS_PH)</f>
        <v/>
      </c>
      <c r="BX11" s="14">
        <f>PARKING_SPACES*BX9/(UNITS_STUDIO+UNITS_1BR+UNITS_2BR+UNITS_3BR+UNITS_PH)</f>
        <v/>
      </c>
      <c r="BY11" s="14">
        <f>PARKING_SPACES*BY9/(UNITS_STUDIO+UNITS_1BR+UNITS_2BR+UNITS_3BR+UNITS_PH)</f>
        <v/>
      </c>
      <c r="BZ11" s="14">
        <f>PARKING_SPACES*BZ9/(UNITS_STUDIO+UNITS_1BR+UNITS_2BR+UNITS_3BR+UNITS_PH)</f>
        <v/>
      </c>
      <c r="CA11" s="14">
        <f>PARKING_SPACES*CA9/(UNITS_STUDIO+UNITS_1BR+UNITS_2BR+UNITS_3BR+UNITS_PH)</f>
        <v/>
      </c>
      <c r="CB11" s="14">
        <f>PARKING_SPACES*CB9/(UNITS_STUDIO+UNITS_1BR+UNITS_2BR+UNITS_3BR+UNITS_PH)</f>
        <v/>
      </c>
      <c r="CC11" s="14">
        <f>PARKING_SPACES*CC9/(UNITS_STUDIO+UNITS_1BR+UNITS_2BR+UNITS_3BR+UNITS_PH)</f>
        <v/>
      </c>
      <c r="CD11" s="14">
        <f>PARKING_SPACES*CD9/(UNITS_STUDIO+UNITS_1BR+UNITS_2BR+UNITS_3BR+UNITS_PH)</f>
        <v/>
      </c>
      <c r="CE11" s="14">
        <f>PARKING_SPACES*CE9/(UNITS_STUDIO+UNITS_1BR+UNITS_2BR+UNITS_3BR+UNITS_PH)</f>
        <v/>
      </c>
      <c r="CF11" s="14">
        <f>PARKING_SPACES*CF9/(UNITS_STUDIO+UNITS_1BR+UNITS_2BR+UNITS_3BR+UNITS_PH)</f>
        <v/>
      </c>
      <c r="CG11" s="14">
        <f>PARKING_SPACES*CG9/(UNITS_STUDIO+UNITS_1BR+UNITS_2BR+UNITS_3BR+UNITS_PH)</f>
        <v/>
      </c>
      <c r="CH11" s="14">
        <f>PARKING_SPACES*CH9/(UNITS_STUDIO+UNITS_1BR+UNITS_2BR+UNITS_3BR+UNITS_PH)</f>
        <v/>
      </c>
    </row>
    <row r="12">
      <c r="A12" s="3" t="inlineStr">
        <is>
          <t>Storage units released</t>
        </is>
      </c>
      <c r="B12" s="4" t="inlineStr">
        <is>
          <t>units</t>
        </is>
      </c>
      <c r="C12" s="14">
        <f>STORAGE_UNITS*C9/(UNITS_STUDIO+UNITS_1BR+UNITS_2BR+UNITS_3BR+UNITS_PH)</f>
        <v/>
      </c>
      <c r="D12" s="14">
        <f>STORAGE_UNITS*D9/(UNITS_STUDIO+UNITS_1BR+UNITS_2BR+UNITS_3BR+UNITS_PH)</f>
        <v/>
      </c>
      <c r="E12" s="14">
        <f>STORAGE_UNITS*E9/(UNITS_STUDIO+UNITS_1BR+UNITS_2BR+UNITS_3BR+UNITS_PH)</f>
        <v/>
      </c>
      <c r="F12" s="14">
        <f>STORAGE_UNITS*F9/(UNITS_STUDIO+UNITS_1BR+UNITS_2BR+UNITS_3BR+UNITS_PH)</f>
        <v/>
      </c>
      <c r="G12" s="14">
        <f>STORAGE_UNITS*G9/(UNITS_STUDIO+UNITS_1BR+UNITS_2BR+UNITS_3BR+UNITS_PH)</f>
        <v/>
      </c>
      <c r="H12" s="14">
        <f>STORAGE_UNITS*H9/(UNITS_STUDIO+UNITS_1BR+UNITS_2BR+UNITS_3BR+UNITS_PH)</f>
        <v/>
      </c>
      <c r="I12" s="14">
        <f>STORAGE_UNITS*I9/(UNITS_STUDIO+UNITS_1BR+UNITS_2BR+UNITS_3BR+UNITS_PH)</f>
        <v/>
      </c>
      <c r="J12" s="14">
        <f>STORAGE_UNITS*J9/(UNITS_STUDIO+UNITS_1BR+UNITS_2BR+UNITS_3BR+UNITS_PH)</f>
        <v/>
      </c>
      <c r="K12" s="14">
        <f>STORAGE_UNITS*K9/(UNITS_STUDIO+UNITS_1BR+UNITS_2BR+UNITS_3BR+UNITS_PH)</f>
        <v/>
      </c>
      <c r="L12" s="14">
        <f>STORAGE_UNITS*L9/(UNITS_STUDIO+UNITS_1BR+UNITS_2BR+UNITS_3BR+UNITS_PH)</f>
        <v/>
      </c>
      <c r="M12" s="14">
        <f>STORAGE_UNITS*M9/(UNITS_STUDIO+UNITS_1BR+UNITS_2BR+UNITS_3BR+UNITS_PH)</f>
        <v/>
      </c>
      <c r="N12" s="14">
        <f>STORAGE_UNITS*N9/(UNITS_STUDIO+UNITS_1BR+UNITS_2BR+UNITS_3BR+UNITS_PH)</f>
        <v/>
      </c>
      <c r="O12" s="14">
        <f>STORAGE_UNITS*O9/(UNITS_STUDIO+UNITS_1BR+UNITS_2BR+UNITS_3BR+UNITS_PH)</f>
        <v/>
      </c>
      <c r="P12" s="14">
        <f>STORAGE_UNITS*P9/(UNITS_STUDIO+UNITS_1BR+UNITS_2BR+UNITS_3BR+UNITS_PH)</f>
        <v/>
      </c>
      <c r="Q12" s="14">
        <f>STORAGE_UNITS*Q9/(UNITS_STUDIO+UNITS_1BR+UNITS_2BR+UNITS_3BR+UNITS_PH)</f>
        <v/>
      </c>
      <c r="R12" s="14">
        <f>STORAGE_UNITS*R9/(UNITS_STUDIO+UNITS_1BR+UNITS_2BR+UNITS_3BR+UNITS_PH)</f>
        <v/>
      </c>
      <c r="S12" s="14">
        <f>STORAGE_UNITS*S9/(UNITS_STUDIO+UNITS_1BR+UNITS_2BR+UNITS_3BR+UNITS_PH)</f>
        <v/>
      </c>
      <c r="T12" s="14">
        <f>STORAGE_UNITS*T9/(UNITS_STUDIO+UNITS_1BR+UNITS_2BR+UNITS_3BR+UNITS_PH)</f>
        <v/>
      </c>
      <c r="U12" s="14">
        <f>STORAGE_UNITS*U9/(UNITS_STUDIO+UNITS_1BR+UNITS_2BR+UNITS_3BR+UNITS_PH)</f>
        <v/>
      </c>
      <c r="V12" s="14">
        <f>STORAGE_UNITS*V9/(UNITS_STUDIO+UNITS_1BR+UNITS_2BR+UNITS_3BR+UNITS_PH)</f>
        <v/>
      </c>
      <c r="W12" s="14">
        <f>STORAGE_UNITS*W9/(UNITS_STUDIO+UNITS_1BR+UNITS_2BR+UNITS_3BR+UNITS_PH)</f>
        <v/>
      </c>
      <c r="X12" s="14">
        <f>STORAGE_UNITS*X9/(UNITS_STUDIO+UNITS_1BR+UNITS_2BR+UNITS_3BR+UNITS_PH)</f>
        <v/>
      </c>
      <c r="Y12" s="14">
        <f>STORAGE_UNITS*Y9/(UNITS_STUDIO+UNITS_1BR+UNITS_2BR+UNITS_3BR+UNITS_PH)</f>
        <v/>
      </c>
      <c r="Z12" s="14">
        <f>STORAGE_UNITS*Z9/(UNITS_STUDIO+UNITS_1BR+UNITS_2BR+UNITS_3BR+UNITS_PH)</f>
        <v/>
      </c>
      <c r="AA12" s="14">
        <f>STORAGE_UNITS*AA9/(UNITS_STUDIO+UNITS_1BR+UNITS_2BR+UNITS_3BR+UNITS_PH)</f>
        <v/>
      </c>
      <c r="AB12" s="14">
        <f>STORAGE_UNITS*AB9/(UNITS_STUDIO+UNITS_1BR+UNITS_2BR+UNITS_3BR+UNITS_PH)</f>
        <v/>
      </c>
      <c r="AC12" s="14">
        <f>STORAGE_UNITS*AC9/(UNITS_STUDIO+UNITS_1BR+UNITS_2BR+UNITS_3BR+UNITS_PH)</f>
        <v/>
      </c>
      <c r="AD12" s="14">
        <f>STORAGE_UNITS*AD9/(UNITS_STUDIO+UNITS_1BR+UNITS_2BR+UNITS_3BR+UNITS_PH)</f>
        <v/>
      </c>
      <c r="AE12" s="14">
        <f>STORAGE_UNITS*AE9/(UNITS_STUDIO+UNITS_1BR+UNITS_2BR+UNITS_3BR+UNITS_PH)</f>
        <v/>
      </c>
      <c r="AF12" s="14">
        <f>STORAGE_UNITS*AF9/(UNITS_STUDIO+UNITS_1BR+UNITS_2BR+UNITS_3BR+UNITS_PH)</f>
        <v/>
      </c>
      <c r="AG12" s="14">
        <f>STORAGE_UNITS*AG9/(UNITS_STUDIO+UNITS_1BR+UNITS_2BR+UNITS_3BR+UNITS_PH)</f>
        <v/>
      </c>
      <c r="AH12" s="14">
        <f>STORAGE_UNITS*AH9/(UNITS_STUDIO+UNITS_1BR+UNITS_2BR+UNITS_3BR+UNITS_PH)</f>
        <v/>
      </c>
      <c r="AI12" s="14">
        <f>STORAGE_UNITS*AI9/(UNITS_STUDIO+UNITS_1BR+UNITS_2BR+UNITS_3BR+UNITS_PH)</f>
        <v/>
      </c>
      <c r="AJ12" s="14">
        <f>STORAGE_UNITS*AJ9/(UNITS_STUDIO+UNITS_1BR+UNITS_2BR+UNITS_3BR+UNITS_PH)</f>
        <v/>
      </c>
      <c r="AK12" s="14">
        <f>STORAGE_UNITS*AK9/(UNITS_STUDIO+UNITS_1BR+UNITS_2BR+UNITS_3BR+UNITS_PH)</f>
        <v/>
      </c>
      <c r="AL12" s="14">
        <f>STORAGE_UNITS*AL9/(UNITS_STUDIO+UNITS_1BR+UNITS_2BR+UNITS_3BR+UNITS_PH)</f>
        <v/>
      </c>
      <c r="AM12" s="14">
        <f>STORAGE_UNITS*AM9/(UNITS_STUDIO+UNITS_1BR+UNITS_2BR+UNITS_3BR+UNITS_PH)</f>
        <v/>
      </c>
      <c r="AN12" s="14">
        <f>STORAGE_UNITS*AN9/(UNITS_STUDIO+UNITS_1BR+UNITS_2BR+UNITS_3BR+UNITS_PH)</f>
        <v/>
      </c>
      <c r="AO12" s="14">
        <f>STORAGE_UNITS*AO9/(UNITS_STUDIO+UNITS_1BR+UNITS_2BR+UNITS_3BR+UNITS_PH)</f>
        <v/>
      </c>
      <c r="AP12" s="14">
        <f>STORAGE_UNITS*AP9/(UNITS_STUDIO+UNITS_1BR+UNITS_2BR+UNITS_3BR+UNITS_PH)</f>
        <v/>
      </c>
      <c r="AQ12" s="14">
        <f>STORAGE_UNITS*AQ9/(UNITS_STUDIO+UNITS_1BR+UNITS_2BR+UNITS_3BR+UNITS_PH)</f>
        <v/>
      </c>
      <c r="AR12" s="14">
        <f>STORAGE_UNITS*AR9/(UNITS_STUDIO+UNITS_1BR+UNITS_2BR+UNITS_3BR+UNITS_PH)</f>
        <v/>
      </c>
      <c r="AS12" s="14">
        <f>STORAGE_UNITS*AS9/(UNITS_STUDIO+UNITS_1BR+UNITS_2BR+UNITS_3BR+UNITS_PH)</f>
        <v/>
      </c>
      <c r="AT12" s="14">
        <f>STORAGE_UNITS*AT9/(UNITS_STUDIO+UNITS_1BR+UNITS_2BR+UNITS_3BR+UNITS_PH)</f>
        <v/>
      </c>
      <c r="AU12" s="14">
        <f>STORAGE_UNITS*AU9/(UNITS_STUDIO+UNITS_1BR+UNITS_2BR+UNITS_3BR+UNITS_PH)</f>
        <v/>
      </c>
      <c r="AV12" s="14">
        <f>STORAGE_UNITS*AV9/(UNITS_STUDIO+UNITS_1BR+UNITS_2BR+UNITS_3BR+UNITS_PH)</f>
        <v/>
      </c>
      <c r="AW12" s="14">
        <f>STORAGE_UNITS*AW9/(UNITS_STUDIO+UNITS_1BR+UNITS_2BR+UNITS_3BR+UNITS_PH)</f>
        <v/>
      </c>
      <c r="AX12" s="14">
        <f>STORAGE_UNITS*AX9/(UNITS_STUDIO+UNITS_1BR+UNITS_2BR+UNITS_3BR+UNITS_PH)</f>
        <v/>
      </c>
      <c r="AY12" s="14">
        <f>STORAGE_UNITS*AY9/(UNITS_STUDIO+UNITS_1BR+UNITS_2BR+UNITS_3BR+UNITS_PH)</f>
        <v/>
      </c>
      <c r="AZ12" s="14">
        <f>STORAGE_UNITS*AZ9/(UNITS_STUDIO+UNITS_1BR+UNITS_2BR+UNITS_3BR+UNITS_PH)</f>
        <v/>
      </c>
      <c r="BA12" s="14">
        <f>STORAGE_UNITS*BA9/(UNITS_STUDIO+UNITS_1BR+UNITS_2BR+UNITS_3BR+UNITS_PH)</f>
        <v/>
      </c>
      <c r="BB12" s="14">
        <f>STORAGE_UNITS*BB9/(UNITS_STUDIO+UNITS_1BR+UNITS_2BR+UNITS_3BR+UNITS_PH)</f>
        <v/>
      </c>
      <c r="BC12" s="14">
        <f>STORAGE_UNITS*BC9/(UNITS_STUDIO+UNITS_1BR+UNITS_2BR+UNITS_3BR+UNITS_PH)</f>
        <v/>
      </c>
      <c r="BD12" s="14">
        <f>STORAGE_UNITS*BD9/(UNITS_STUDIO+UNITS_1BR+UNITS_2BR+UNITS_3BR+UNITS_PH)</f>
        <v/>
      </c>
      <c r="BE12" s="14">
        <f>STORAGE_UNITS*BE9/(UNITS_STUDIO+UNITS_1BR+UNITS_2BR+UNITS_3BR+UNITS_PH)</f>
        <v/>
      </c>
      <c r="BF12" s="14">
        <f>STORAGE_UNITS*BF9/(UNITS_STUDIO+UNITS_1BR+UNITS_2BR+UNITS_3BR+UNITS_PH)</f>
        <v/>
      </c>
      <c r="BG12" s="14">
        <f>STORAGE_UNITS*BG9/(UNITS_STUDIO+UNITS_1BR+UNITS_2BR+UNITS_3BR+UNITS_PH)</f>
        <v/>
      </c>
      <c r="BH12" s="14">
        <f>STORAGE_UNITS*BH9/(UNITS_STUDIO+UNITS_1BR+UNITS_2BR+UNITS_3BR+UNITS_PH)</f>
        <v/>
      </c>
      <c r="BI12" s="14">
        <f>STORAGE_UNITS*BI9/(UNITS_STUDIO+UNITS_1BR+UNITS_2BR+UNITS_3BR+UNITS_PH)</f>
        <v/>
      </c>
      <c r="BJ12" s="14">
        <f>STORAGE_UNITS*BJ9/(UNITS_STUDIO+UNITS_1BR+UNITS_2BR+UNITS_3BR+UNITS_PH)</f>
        <v/>
      </c>
      <c r="BK12" s="14">
        <f>STORAGE_UNITS*BK9/(UNITS_STUDIO+UNITS_1BR+UNITS_2BR+UNITS_3BR+UNITS_PH)</f>
        <v/>
      </c>
      <c r="BL12" s="14">
        <f>STORAGE_UNITS*BL9/(UNITS_STUDIO+UNITS_1BR+UNITS_2BR+UNITS_3BR+UNITS_PH)</f>
        <v/>
      </c>
      <c r="BM12" s="14">
        <f>STORAGE_UNITS*BM9/(UNITS_STUDIO+UNITS_1BR+UNITS_2BR+UNITS_3BR+UNITS_PH)</f>
        <v/>
      </c>
      <c r="BN12" s="14">
        <f>STORAGE_UNITS*BN9/(UNITS_STUDIO+UNITS_1BR+UNITS_2BR+UNITS_3BR+UNITS_PH)</f>
        <v/>
      </c>
      <c r="BO12" s="14">
        <f>STORAGE_UNITS*BO9/(UNITS_STUDIO+UNITS_1BR+UNITS_2BR+UNITS_3BR+UNITS_PH)</f>
        <v/>
      </c>
      <c r="BP12" s="14">
        <f>STORAGE_UNITS*BP9/(UNITS_STUDIO+UNITS_1BR+UNITS_2BR+UNITS_3BR+UNITS_PH)</f>
        <v/>
      </c>
      <c r="BQ12" s="14">
        <f>STORAGE_UNITS*BQ9/(UNITS_STUDIO+UNITS_1BR+UNITS_2BR+UNITS_3BR+UNITS_PH)</f>
        <v/>
      </c>
      <c r="BR12" s="14">
        <f>STORAGE_UNITS*BR9/(UNITS_STUDIO+UNITS_1BR+UNITS_2BR+UNITS_3BR+UNITS_PH)</f>
        <v/>
      </c>
      <c r="BS12" s="14">
        <f>STORAGE_UNITS*BS9/(UNITS_STUDIO+UNITS_1BR+UNITS_2BR+UNITS_3BR+UNITS_PH)</f>
        <v/>
      </c>
      <c r="BT12" s="14">
        <f>STORAGE_UNITS*BT9/(UNITS_STUDIO+UNITS_1BR+UNITS_2BR+UNITS_3BR+UNITS_PH)</f>
        <v/>
      </c>
      <c r="BU12" s="14">
        <f>STORAGE_UNITS*BU9/(UNITS_STUDIO+UNITS_1BR+UNITS_2BR+UNITS_3BR+UNITS_PH)</f>
        <v/>
      </c>
      <c r="BV12" s="14">
        <f>STORAGE_UNITS*BV9/(UNITS_STUDIO+UNITS_1BR+UNITS_2BR+UNITS_3BR+UNITS_PH)</f>
        <v/>
      </c>
      <c r="BW12" s="14">
        <f>STORAGE_UNITS*BW9/(UNITS_STUDIO+UNITS_1BR+UNITS_2BR+UNITS_3BR+UNITS_PH)</f>
        <v/>
      </c>
      <c r="BX12" s="14">
        <f>STORAGE_UNITS*BX9/(UNITS_STUDIO+UNITS_1BR+UNITS_2BR+UNITS_3BR+UNITS_PH)</f>
        <v/>
      </c>
      <c r="BY12" s="14">
        <f>STORAGE_UNITS*BY9/(UNITS_STUDIO+UNITS_1BR+UNITS_2BR+UNITS_3BR+UNITS_PH)</f>
        <v/>
      </c>
      <c r="BZ12" s="14">
        <f>STORAGE_UNITS*BZ9/(UNITS_STUDIO+UNITS_1BR+UNITS_2BR+UNITS_3BR+UNITS_PH)</f>
        <v/>
      </c>
      <c r="CA12" s="14">
        <f>STORAGE_UNITS*CA9/(UNITS_STUDIO+UNITS_1BR+UNITS_2BR+UNITS_3BR+UNITS_PH)</f>
        <v/>
      </c>
      <c r="CB12" s="14">
        <f>STORAGE_UNITS*CB9/(UNITS_STUDIO+UNITS_1BR+UNITS_2BR+UNITS_3BR+UNITS_PH)</f>
        <v/>
      </c>
      <c r="CC12" s="14">
        <f>STORAGE_UNITS*CC9/(UNITS_STUDIO+UNITS_1BR+UNITS_2BR+UNITS_3BR+UNITS_PH)</f>
        <v/>
      </c>
      <c r="CD12" s="14">
        <f>STORAGE_UNITS*CD9/(UNITS_STUDIO+UNITS_1BR+UNITS_2BR+UNITS_3BR+UNITS_PH)</f>
        <v/>
      </c>
      <c r="CE12" s="14">
        <f>STORAGE_UNITS*CE9/(UNITS_STUDIO+UNITS_1BR+UNITS_2BR+UNITS_3BR+UNITS_PH)</f>
        <v/>
      </c>
      <c r="CF12" s="14">
        <f>STORAGE_UNITS*CF9/(UNITS_STUDIO+UNITS_1BR+UNITS_2BR+UNITS_3BR+UNITS_PH)</f>
        <v/>
      </c>
      <c r="CG12" s="14">
        <f>STORAGE_UNITS*CG9/(UNITS_STUDIO+UNITS_1BR+UNITS_2BR+UNITS_3BR+UNITS_PH)</f>
        <v/>
      </c>
      <c r="CH12" s="14">
        <f>STORAGE_UNITS*CH9/(UNITS_STUDIO+UNITS_1BR+UNITS_2BR+UNITS_3BR+UNITS_PH)</f>
        <v/>
      </c>
    </row>
    <row r="13">
      <c r="A13" s="3" t="inlineStr">
        <is>
          <t>Parking revenue</t>
        </is>
      </c>
      <c r="B13" s="4" t="inlineStr">
        <is>
          <t>$</t>
        </is>
      </c>
      <c r="C13" s="12">
        <f>C11*PARKING_PRICE</f>
        <v/>
      </c>
      <c r="D13" s="12">
        <f>D11*PARKING_PRICE</f>
        <v/>
      </c>
      <c r="E13" s="12">
        <f>E11*PARKING_PRICE</f>
        <v/>
      </c>
      <c r="F13" s="12">
        <f>F11*PARKING_PRICE</f>
        <v/>
      </c>
      <c r="G13" s="12">
        <f>G11*PARKING_PRICE</f>
        <v/>
      </c>
      <c r="H13" s="12">
        <f>H11*PARKING_PRICE</f>
        <v/>
      </c>
      <c r="I13" s="12">
        <f>I11*PARKING_PRICE</f>
        <v/>
      </c>
      <c r="J13" s="12">
        <f>J11*PARKING_PRICE</f>
        <v/>
      </c>
      <c r="K13" s="12">
        <f>K11*PARKING_PRICE</f>
        <v/>
      </c>
      <c r="L13" s="12">
        <f>L11*PARKING_PRICE</f>
        <v/>
      </c>
      <c r="M13" s="12">
        <f>M11*PARKING_PRICE</f>
        <v/>
      </c>
      <c r="N13" s="12">
        <f>N11*PARKING_PRICE</f>
        <v/>
      </c>
      <c r="O13" s="12">
        <f>O11*PARKING_PRICE</f>
        <v/>
      </c>
      <c r="P13" s="12">
        <f>P11*PARKING_PRICE</f>
        <v/>
      </c>
      <c r="Q13" s="12">
        <f>Q11*PARKING_PRICE</f>
        <v/>
      </c>
      <c r="R13" s="12">
        <f>R11*PARKING_PRICE</f>
        <v/>
      </c>
      <c r="S13" s="12">
        <f>S11*PARKING_PRICE</f>
        <v/>
      </c>
      <c r="T13" s="12">
        <f>T11*PARKING_PRICE</f>
        <v/>
      </c>
      <c r="U13" s="12">
        <f>U11*PARKING_PRICE</f>
        <v/>
      </c>
      <c r="V13" s="12">
        <f>V11*PARKING_PRICE</f>
        <v/>
      </c>
      <c r="W13" s="12">
        <f>W11*PARKING_PRICE</f>
        <v/>
      </c>
      <c r="X13" s="12">
        <f>X11*PARKING_PRICE</f>
        <v/>
      </c>
      <c r="Y13" s="12">
        <f>Y11*PARKING_PRICE</f>
        <v/>
      </c>
      <c r="Z13" s="12">
        <f>Z11*PARKING_PRICE</f>
        <v/>
      </c>
      <c r="AA13" s="12">
        <f>AA11*PARKING_PRICE</f>
        <v/>
      </c>
      <c r="AB13" s="12">
        <f>AB11*PARKING_PRICE</f>
        <v/>
      </c>
      <c r="AC13" s="12">
        <f>AC11*PARKING_PRICE</f>
        <v/>
      </c>
      <c r="AD13" s="12">
        <f>AD11*PARKING_PRICE</f>
        <v/>
      </c>
      <c r="AE13" s="12">
        <f>AE11*PARKING_PRICE</f>
        <v/>
      </c>
      <c r="AF13" s="12">
        <f>AF11*PARKING_PRICE</f>
        <v/>
      </c>
      <c r="AG13" s="12">
        <f>AG11*PARKING_PRICE</f>
        <v/>
      </c>
      <c r="AH13" s="12">
        <f>AH11*PARKING_PRICE</f>
        <v/>
      </c>
      <c r="AI13" s="12">
        <f>AI11*PARKING_PRICE</f>
        <v/>
      </c>
      <c r="AJ13" s="12">
        <f>AJ11*PARKING_PRICE</f>
        <v/>
      </c>
      <c r="AK13" s="12">
        <f>AK11*PARKING_PRICE</f>
        <v/>
      </c>
      <c r="AL13" s="12">
        <f>AL11*PARKING_PRICE</f>
        <v/>
      </c>
      <c r="AM13" s="12">
        <f>AM11*PARKING_PRICE</f>
        <v/>
      </c>
      <c r="AN13" s="12">
        <f>AN11*PARKING_PRICE</f>
        <v/>
      </c>
      <c r="AO13" s="12">
        <f>AO11*PARKING_PRICE</f>
        <v/>
      </c>
      <c r="AP13" s="12">
        <f>AP11*PARKING_PRICE</f>
        <v/>
      </c>
      <c r="AQ13" s="12">
        <f>AQ11*PARKING_PRICE</f>
        <v/>
      </c>
      <c r="AR13" s="12">
        <f>AR11*PARKING_PRICE</f>
        <v/>
      </c>
      <c r="AS13" s="12">
        <f>AS11*PARKING_PRICE</f>
        <v/>
      </c>
      <c r="AT13" s="12">
        <f>AT11*PARKING_PRICE</f>
        <v/>
      </c>
      <c r="AU13" s="12">
        <f>AU11*PARKING_PRICE</f>
        <v/>
      </c>
      <c r="AV13" s="12">
        <f>AV11*PARKING_PRICE</f>
        <v/>
      </c>
      <c r="AW13" s="12">
        <f>AW11*PARKING_PRICE</f>
        <v/>
      </c>
      <c r="AX13" s="12">
        <f>AX11*PARKING_PRICE</f>
        <v/>
      </c>
      <c r="AY13" s="12">
        <f>AY11*PARKING_PRICE</f>
        <v/>
      </c>
      <c r="AZ13" s="12">
        <f>AZ11*PARKING_PRICE</f>
        <v/>
      </c>
      <c r="BA13" s="12">
        <f>BA11*PARKING_PRICE</f>
        <v/>
      </c>
      <c r="BB13" s="12">
        <f>BB11*PARKING_PRICE</f>
        <v/>
      </c>
      <c r="BC13" s="12">
        <f>BC11*PARKING_PRICE</f>
        <v/>
      </c>
      <c r="BD13" s="12">
        <f>BD11*PARKING_PRICE</f>
        <v/>
      </c>
      <c r="BE13" s="12">
        <f>BE11*PARKING_PRICE</f>
        <v/>
      </c>
      <c r="BF13" s="12">
        <f>BF11*PARKING_PRICE</f>
        <v/>
      </c>
      <c r="BG13" s="12">
        <f>BG11*PARKING_PRICE</f>
        <v/>
      </c>
      <c r="BH13" s="12">
        <f>BH11*PARKING_PRICE</f>
        <v/>
      </c>
      <c r="BI13" s="12">
        <f>BI11*PARKING_PRICE</f>
        <v/>
      </c>
      <c r="BJ13" s="12">
        <f>BJ11*PARKING_PRICE</f>
        <v/>
      </c>
      <c r="BK13" s="12">
        <f>BK11*PARKING_PRICE</f>
        <v/>
      </c>
      <c r="BL13" s="12">
        <f>BL11*PARKING_PRICE</f>
        <v/>
      </c>
      <c r="BM13" s="12">
        <f>BM11*PARKING_PRICE</f>
        <v/>
      </c>
      <c r="BN13" s="12">
        <f>BN11*PARKING_PRICE</f>
        <v/>
      </c>
      <c r="BO13" s="12">
        <f>BO11*PARKING_PRICE</f>
        <v/>
      </c>
      <c r="BP13" s="12">
        <f>BP11*PARKING_PRICE</f>
        <v/>
      </c>
      <c r="BQ13" s="12">
        <f>BQ11*PARKING_PRICE</f>
        <v/>
      </c>
      <c r="BR13" s="12">
        <f>BR11*PARKING_PRICE</f>
        <v/>
      </c>
      <c r="BS13" s="12">
        <f>BS11*PARKING_PRICE</f>
        <v/>
      </c>
      <c r="BT13" s="12">
        <f>BT11*PARKING_PRICE</f>
        <v/>
      </c>
      <c r="BU13" s="12">
        <f>BU11*PARKING_PRICE</f>
        <v/>
      </c>
      <c r="BV13" s="12">
        <f>BV11*PARKING_PRICE</f>
        <v/>
      </c>
      <c r="BW13" s="12">
        <f>BW11*PARKING_PRICE</f>
        <v/>
      </c>
      <c r="BX13" s="12">
        <f>BX11*PARKING_PRICE</f>
        <v/>
      </c>
      <c r="BY13" s="12">
        <f>BY11*PARKING_PRICE</f>
        <v/>
      </c>
      <c r="BZ13" s="12">
        <f>BZ11*PARKING_PRICE</f>
        <v/>
      </c>
      <c r="CA13" s="12">
        <f>CA11*PARKING_PRICE</f>
        <v/>
      </c>
      <c r="CB13" s="12">
        <f>CB11*PARKING_PRICE</f>
        <v/>
      </c>
      <c r="CC13" s="12">
        <f>CC11*PARKING_PRICE</f>
        <v/>
      </c>
      <c r="CD13" s="12">
        <f>CD11*PARKING_PRICE</f>
        <v/>
      </c>
      <c r="CE13" s="12">
        <f>CE11*PARKING_PRICE</f>
        <v/>
      </c>
      <c r="CF13" s="12">
        <f>CF11*PARKING_PRICE</f>
        <v/>
      </c>
      <c r="CG13" s="12">
        <f>CG11*PARKING_PRICE</f>
        <v/>
      </c>
      <c r="CH13" s="12">
        <f>CH11*PARKING_PRICE</f>
        <v/>
      </c>
    </row>
    <row r="14">
      <c r="A14" s="3" t="inlineStr">
        <is>
          <t>Storage revenue</t>
        </is>
      </c>
      <c r="B14" s="4" t="inlineStr">
        <is>
          <t>$</t>
        </is>
      </c>
      <c r="C14" s="12">
        <f>C12*STORAGE_PRICE</f>
        <v/>
      </c>
      <c r="D14" s="12">
        <f>D12*STORAGE_PRICE</f>
        <v/>
      </c>
      <c r="E14" s="12">
        <f>E12*STORAGE_PRICE</f>
        <v/>
      </c>
      <c r="F14" s="12">
        <f>F12*STORAGE_PRICE</f>
        <v/>
      </c>
      <c r="G14" s="12">
        <f>G12*STORAGE_PRICE</f>
        <v/>
      </c>
      <c r="H14" s="12">
        <f>H12*STORAGE_PRICE</f>
        <v/>
      </c>
      <c r="I14" s="12">
        <f>I12*STORAGE_PRICE</f>
        <v/>
      </c>
      <c r="J14" s="12">
        <f>J12*STORAGE_PRICE</f>
        <v/>
      </c>
      <c r="K14" s="12">
        <f>K12*STORAGE_PRICE</f>
        <v/>
      </c>
      <c r="L14" s="12">
        <f>L12*STORAGE_PRICE</f>
        <v/>
      </c>
      <c r="M14" s="12">
        <f>M12*STORAGE_PRICE</f>
        <v/>
      </c>
      <c r="N14" s="12">
        <f>N12*STORAGE_PRICE</f>
        <v/>
      </c>
      <c r="O14" s="12">
        <f>O12*STORAGE_PRICE</f>
        <v/>
      </c>
      <c r="P14" s="12">
        <f>P12*STORAGE_PRICE</f>
        <v/>
      </c>
      <c r="Q14" s="12">
        <f>Q12*STORAGE_PRICE</f>
        <v/>
      </c>
      <c r="R14" s="12">
        <f>R12*STORAGE_PRICE</f>
        <v/>
      </c>
      <c r="S14" s="12">
        <f>S12*STORAGE_PRICE</f>
        <v/>
      </c>
      <c r="T14" s="12">
        <f>T12*STORAGE_PRICE</f>
        <v/>
      </c>
      <c r="U14" s="12">
        <f>U12*STORAGE_PRICE</f>
        <v/>
      </c>
      <c r="V14" s="12">
        <f>V12*STORAGE_PRICE</f>
        <v/>
      </c>
      <c r="W14" s="12">
        <f>W12*STORAGE_PRICE</f>
        <v/>
      </c>
      <c r="X14" s="12">
        <f>X12*STORAGE_PRICE</f>
        <v/>
      </c>
      <c r="Y14" s="12">
        <f>Y12*STORAGE_PRICE</f>
        <v/>
      </c>
      <c r="Z14" s="12">
        <f>Z12*STORAGE_PRICE</f>
        <v/>
      </c>
      <c r="AA14" s="12">
        <f>AA12*STORAGE_PRICE</f>
        <v/>
      </c>
      <c r="AB14" s="12">
        <f>AB12*STORAGE_PRICE</f>
        <v/>
      </c>
      <c r="AC14" s="12">
        <f>AC12*STORAGE_PRICE</f>
        <v/>
      </c>
      <c r="AD14" s="12">
        <f>AD12*STORAGE_PRICE</f>
        <v/>
      </c>
      <c r="AE14" s="12">
        <f>AE12*STORAGE_PRICE</f>
        <v/>
      </c>
      <c r="AF14" s="12">
        <f>AF12*STORAGE_PRICE</f>
        <v/>
      </c>
      <c r="AG14" s="12">
        <f>AG12*STORAGE_PRICE</f>
        <v/>
      </c>
      <c r="AH14" s="12">
        <f>AH12*STORAGE_PRICE</f>
        <v/>
      </c>
      <c r="AI14" s="12">
        <f>AI12*STORAGE_PRICE</f>
        <v/>
      </c>
      <c r="AJ14" s="12">
        <f>AJ12*STORAGE_PRICE</f>
        <v/>
      </c>
      <c r="AK14" s="12">
        <f>AK12*STORAGE_PRICE</f>
        <v/>
      </c>
      <c r="AL14" s="12">
        <f>AL12*STORAGE_PRICE</f>
        <v/>
      </c>
      <c r="AM14" s="12">
        <f>AM12*STORAGE_PRICE</f>
        <v/>
      </c>
      <c r="AN14" s="12">
        <f>AN12*STORAGE_PRICE</f>
        <v/>
      </c>
      <c r="AO14" s="12">
        <f>AO12*STORAGE_PRICE</f>
        <v/>
      </c>
      <c r="AP14" s="12">
        <f>AP12*STORAGE_PRICE</f>
        <v/>
      </c>
      <c r="AQ14" s="12">
        <f>AQ12*STORAGE_PRICE</f>
        <v/>
      </c>
      <c r="AR14" s="12">
        <f>AR12*STORAGE_PRICE</f>
        <v/>
      </c>
      <c r="AS14" s="12">
        <f>AS12*STORAGE_PRICE</f>
        <v/>
      </c>
      <c r="AT14" s="12">
        <f>AT12*STORAGE_PRICE</f>
        <v/>
      </c>
      <c r="AU14" s="12">
        <f>AU12*STORAGE_PRICE</f>
        <v/>
      </c>
      <c r="AV14" s="12">
        <f>AV12*STORAGE_PRICE</f>
        <v/>
      </c>
      <c r="AW14" s="12">
        <f>AW12*STORAGE_PRICE</f>
        <v/>
      </c>
      <c r="AX14" s="12">
        <f>AX12*STORAGE_PRICE</f>
        <v/>
      </c>
      <c r="AY14" s="12">
        <f>AY12*STORAGE_PRICE</f>
        <v/>
      </c>
      <c r="AZ14" s="12">
        <f>AZ12*STORAGE_PRICE</f>
        <v/>
      </c>
      <c r="BA14" s="12">
        <f>BA12*STORAGE_PRICE</f>
        <v/>
      </c>
      <c r="BB14" s="12">
        <f>BB12*STORAGE_PRICE</f>
        <v/>
      </c>
      <c r="BC14" s="12">
        <f>BC12*STORAGE_PRICE</f>
        <v/>
      </c>
      <c r="BD14" s="12">
        <f>BD12*STORAGE_PRICE</f>
        <v/>
      </c>
      <c r="BE14" s="12">
        <f>BE12*STORAGE_PRICE</f>
        <v/>
      </c>
      <c r="BF14" s="12">
        <f>BF12*STORAGE_PRICE</f>
        <v/>
      </c>
      <c r="BG14" s="12">
        <f>BG12*STORAGE_PRICE</f>
        <v/>
      </c>
      <c r="BH14" s="12">
        <f>BH12*STORAGE_PRICE</f>
        <v/>
      </c>
      <c r="BI14" s="12">
        <f>BI12*STORAGE_PRICE</f>
        <v/>
      </c>
      <c r="BJ14" s="12">
        <f>BJ12*STORAGE_PRICE</f>
        <v/>
      </c>
      <c r="BK14" s="12">
        <f>BK12*STORAGE_PRICE</f>
        <v/>
      </c>
      <c r="BL14" s="12">
        <f>BL12*STORAGE_PRICE</f>
        <v/>
      </c>
      <c r="BM14" s="12">
        <f>BM12*STORAGE_PRICE</f>
        <v/>
      </c>
      <c r="BN14" s="12">
        <f>BN12*STORAGE_PRICE</f>
        <v/>
      </c>
      <c r="BO14" s="12">
        <f>BO12*STORAGE_PRICE</f>
        <v/>
      </c>
      <c r="BP14" s="12">
        <f>BP12*STORAGE_PRICE</f>
        <v/>
      </c>
      <c r="BQ14" s="12">
        <f>BQ12*STORAGE_PRICE</f>
        <v/>
      </c>
      <c r="BR14" s="12">
        <f>BR12*STORAGE_PRICE</f>
        <v/>
      </c>
      <c r="BS14" s="12">
        <f>BS12*STORAGE_PRICE</f>
        <v/>
      </c>
      <c r="BT14" s="12">
        <f>BT12*STORAGE_PRICE</f>
        <v/>
      </c>
      <c r="BU14" s="12">
        <f>BU12*STORAGE_PRICE</f>
        <v/>
      </c>
      <c r="BV14" s="12">
        <f>BV12*STORAGE_PRICE</f>
        <v/>
      </c>
      <c r="BW14" s="12">
        <f>BW12*STORAGE_PRICE</f>
        <v/>
      </c>
      <c r="BX14" s="12">
        <f>BX12*STORAGE_PRICE</f>
        <v/>
      </c>
      <c r="BY14" s="12">
        <f>BY12*STORAGE_PRICE</f>
        <v/>
      </c>
      <c r="BZ14" s="12">
        <f>BZ12*STORAGE_PRICE</f>
        <v/>
      </c>
      <c r="CA14" s="12">
        <f>CA12*STORAGE_PRICE</f>
        <v/>
      </c>
      <c r="CB14" s="12">
        <f>CB12*STORAGE_PRICE</f>
        <v/>
      </c>
      <c r="CC14" s="12">
        <f>CC12*STORAGE_PRICE</f>
        <v/>
      </c>
      <c r="CD14" s="12">
        <f>CD12*STORAGE_PRICE</f>
        <v/>
      </c>
      <c r="CE14" s="12">
        <f>CE12*STORAGE_PRICE</f>
        <v/>
      </c>
      <c r="CF14" s="12">
        <f>CF12*STORAGE_PRICE</f>
        <v/>
      </c>
      <c r="CG14" s="12">
        <f>CG12*STORAGE_PRICE</f>
        <v/>
      </c>
      <c r="CH14" s="12">
        <f>CH12*STORAGE_PRICE</f>
        <v/>
      </c>
    </row>
    <row r="15">
      <c r="A15" s="3" t="inlineStr">
        <is>
          <t>Gross revenue</t>
        </is>
      </c>
      <c r="B15" s="4" t="inlineStr">
        <is>
          <t>$</t>
        </is>
      </c>
      <c r="C15" s="12">
        <f>C10+C13+C14</f>
        <v/>
      </c>
      <c r="D15" s="12">
        <f>D10+D13+D14</f>
        <v/>
      </c>
      <c r="E15" s="12">
        <f>E10+E13+E14</f>
        <v/>
      </c>
      <c r="F15" s="12">
        <f>F10+F13+F14</f>
        <v/>
      </c>
      <c r="G15" s="12">
        <f>G10+G13+G14</f>
        <v/>
      </c>
      <c r="H15" s="12">
        <f>H10+H13+H14</f>
        <v/>
      </c>
      <c r="I15" s="12">
        <f>I10+I13+I14</f>
        <v/>
      </c>
      <c r="J15" s="12">
        <f>J10+J13+J14</f>
        <v/>
      </c>
      <c r="K15" s="12">
        <f>K10+K13+K14</f>
        <v/>
      </c>
      <c r="L15" s="12">
        <f>L10+L13+L14</f>
        <v/>
      </c>
      <c r="M15" s="12">
        <f>M10+M13+M14</f>
        <v/>
      </c>
      <c r="N15" s="12">
        <f>N10+N13+N14</f>
        <v/>
      </c>
      <c r="O15" s="12">
        <f>O10+O13+O14</f>
        <v/>
      </c>
      <c r="P15" s="12">
        <f>P10+P13+P14</f>
        <v/>
      </c>
      <c r="Q15" s="12">
        <f>Q10+Q13+Q14</f>
        <v/>
      </c>
      <c r="R15" s="12">
        <f>R10+R13+R14</f>
        <v/>
      </c>
      <c r="S15" s="12">
        <f>S10+S13+S14</f>
        <v/>
      </c>
      <c r="T15" s="12">
        <f>T10+T13+T14</f>
        <v/>
      </c>
      <c r="U15" s="12">
        <f>U10+U13+U14</f>
        <v/>
      </c>
      <c r="V15" s="12">
        <f>V10+V13+V14</f>
        <v/>
      </c>
      <c r="W15" s="12">
        <f>W10+W13+W14</f>
        <v/>
      </c>
      <c r="X15" s="12">
        <f>X10+X13+X14</f>
        <v/>
      </c>
      <c r="Y15" s="12">
        <f>Y10+Y13+Y14</f>
        <v/>
      </c>
      <c r="Z15" s="12">
        <f>Z10+Z13+Z14</f>
        <v/>
      </c>
      <c r="AA15" s="12">
        <f>AA10+AA13+AA14</f>
        <v/>
      </c>
      <c r="AB15" s="12">
        <f>AB10+AB13+AB14</f>
        <v/>
      </c>
      <c r="AC15" s="12">
        <f>AC10+AC13+AC14</f>
        <v/>
      </c>
      <c r="AD15" s="12">
        <f>AD10+AD13+AD14</f>
        <v/>
      </c>
      <c r="AE15" s="12">
        <f>AE10+AE13+AE14</f>
        <v/>
      </c>
      <c r="AF15" s="12">
        <f>AF10+AF13+AF14</f>
        <v/>
      </c>
      <c r="AG15" s="12">
        <f>AG10+AG13+AG14</f>
        <v/>
      </c>
      <c r="AH15" s="12">
        <f>AH10+AH13+AH14</f>
        <v/>
      </c>
      <c r="AI15" s="12">
        <f>AI10+AI13+AI14</f>
        <v/>
      </c>
      <c r="AJ15" s="12">
        <f>AJ10+AJ13+AJ14</f>
        <v/>
      </c>
      <c r="AK15" s="12">
        <f>AK10+AK13+AK14</f>
        <v/>
      </c>
      <c r="AL15" s="12">
        <f>AL10+AL13+AL14</f>
        <v/>
      </c>
      <c r="AM15" s="12">
        <f>AM10+AM13+AM14</f>
        <v/>
      </c>
      <c r="AN15" s="12">
        <f>AN10+AN13+AN14</f>
        <v/>
      </c>
      <c r="AO15" s="12">
        <f>AO10+AO13+AO14</f>
        <v/>
      </c>
      <c r="AP15" s="12">
        <f>AP10+AP13+AP14</f>
        <v/>
      </c>
      <c r="AQ15" s="12">
        <f>AQ10+AQ13+AQ14</f>
        <v/>
      </c>
      <c r="AR15" s="12">
        <f>AR10+AR13+AR14</f>
        <v/>
      </c>
      <c r="AS15" s="12">
        <f>AS10+AS13+AS14</f>
        <v/>
      </c>
      <c r="AT15" s="12">
        <f>AT10+AT13+AT14</f>
        <v/>
      </c>
      <c r="AU15" s="12">
        <f>AU10+AU13+AU14</f>
        <v/>
      </c>
      <c r="AV15" s="12">
        <f>AV10+AV13+AV14</f>
        <v/>
      </c>
      <c r="AW15" s="12">
        <f>AW10+AW13+AW14</f>
        <v/>
      </c>
      <c r="AX15" s="12">
        <f>AX10+AX13+AX14</f>
        <v/>
      </c>
      <c r="AY15" s="12">
        <f>AY10+AY13+AY14</f>
        <v/>
      </c>
      <c r="AZ15" s="12">
        <f>AZ10+AZ13+AZ14</f>
        <v/>
      </c>
      <c r="BA15" s="12">
        <f>BA10+BA13+BA14</f>
        <v/>
      </c>
      <c r="BB15" s="12">
        <f>BB10+BB13+BB14</f>
        <v/>
      </c>
      <c r="BC15" s="12">
        <f>BC10+BC13+BC14</f>
        <v/>
      </c>
      <c r="BD15" s="12">
        <f>BD10+BD13+BD14</f>
        <v/>
      </c>
      <c r="BE15" s="12">
        <f>BE10+BE13+BE14</f>
        <v/>
      </c>
      <c r="BF15" s="12">
        <f>BF10+BF13+BF14</f>
        <v/>
      </c>
      <c r="BG15" s="12">
        <f>BG10+BG13+BG14</f>
        <v/>
      </c>
      <c r="BH15" s="12">
        <f>BH10+BH13+BH14</f>
        <v/>
      </c>
      <c r="BI15" s="12">
        <f>BI10+BI13+BI14</f>
        <v/>
      </c>
      <c r="BJ15" s="12">
        <f>BJ10+BJ13+BJ14</f>
        <v/>
      </c>
      <c r="BK15" s="12">
        <f>BK10+BK13+BK14</f>
        <v/>
      </c>
      <c r="BL15" s="12">
        <f>BL10+BL13+BL14</f>
        <v/>
      </c>
      <c r="BM15" s="12">
        <f>BM10+BM13+BM14</f>
        <v/>
      </c>
      <c r="BN15" s="12">
        <f>BN10+BN13+BN14</f>
        <v/>
      </c>
      <c r="BO15" s="12">
        <f>BO10+BO13+BO14</f>
        <v/>
      </c>
      <c r="BP15" s="12">
        <f>BP10+BP13+BP14</f>
        <v/>
      </c>
      <c r="BQ15" s="12">
        <f>BQ10+BQ13+BQ14</f>
        <v/>
      </c>
      <c r="BR15" s="12">
        <f>BR10+BR13+BR14</f>
        <v/>
      </c>
      <c r="BS15" s="12">
        <f>BS10+BS13+BS14</f>
        <v/>
      </c>
      <c r="BT15" s="12">
        <f>BT10+BT13+BT14</f>
        <v/>
      </c>
      <c r="BU15" s="12">
        <f>BU10+BU13+BU14</f>
        <v/>
      </c>
      <c r="BV15" s="12">
        <f>BV10+BV13+BV14</f>
        <v/>
      </c>
      <c r="BW15" s="12">
        <f>BW10+BW13+BW14</f>
        <v/>
      </c>
      <c r="BX15" s="12">
        <f>BX10+BX13+BX14</f>
        <v/>
      </c>
      <c r="BY15" s="12">
        <f>BY10+BY13+BY14</f>
        <v/>
      </c>
      <c r="BZ15" s="12">
        <f>BZ10+BZ13+BZ14</f>
        <v/>
      </c>
      <c r="CA15" s="12">
        <f>CA10+CA13+CA14</f>
        <v/>
      </c>
      <c r="CB15" s="12">
        <f>CB10+CB13+CB14</f>
        <v/>
      </c>
      <c r="CC15" s="12">
        <f>CC10+CC13+CC14</f>
        <v/>
      </c>
      <c r="CD15" s="12">
        <f>CD10+CD13+CD14</f>
        <v/>
      </c>
      <c r="CE15" s="12">
        <f>CE10+CE13+CE14</f>
        <v/>
      </c>
      <c r="CF15" s="12">
        <f>CF10+CF13+CF14</f>
        <v/>
      </c>
      <c r="CG15" s="12">
        <f>CG10+CG13+CG14</f>
        <v/>
      </c>
      <c r="CH15" s="12">
        <f>CH10+CH13+CH14</f>
        <v/>
      </c>
    </row>
    <row r="16">
      <c r="A16" s="3" t="inlineStr">
        <is>
          <t>Net revenue</t>
        </is>
      </c>
      <c r="B16" s="4" t="inlineStr">
        <is>
          <t>$</t>
        </is>
      </c>
      <c r="C16" s="12">
        <f>C15*(1-CLOSING_COST_PCT-MARKETING_PCT)</f>
        <v/>
      </c>
      <c r="D16" s="12">
        <f>D15*(1-CLOSING_COST_PCT-MARKETING_PCT)</f>
        <v/>
      </c>
      <c r="E16" s="12">
        <f>E15*(1-CLOSING_COST_PCT-MARKETING_PCT)</f>
        <v/>
      </c>
      <c r="F16" s="12">
        <f>F15*(1-CLOSING_COST_PCT-MARKETING_PCT)</f>
        <v/>
      </c>
      <c r="G16" s="12">
        <f>G15*(1-CLOSING_COST_PCT-MARKETING_PCT)</f>
        <v/>
      </c>
      <c r="H16" s="12">
        <f>H15*(1-CLOSING_COST_PCT-MARKETING_PCT)</f>
        <v/>
      </c>
      <c r="I16" s="12">
        <f>I15*(1-CLOSING_COST_PCT-MARKETING_PCT)</f>
        <v/>
      </c>
      <c r="J16" s="12">
        <f>J15*(1-CLOSING_COST_PCT-MARKETING_PCT)</f>
        <v/>
      </c>
      <c r="K16" s="12">
        <f>K15*(1-CLOSING_COST_PCT-MARKETING_PCT)</f>
        <v/>
      </c>
      <c r="L16" s="12">
        <f>L15*(1-CLOSING_COST_PCT-MARKETING_PCT)</f>
        <v/>
      </c>
      <c r="M16" s="12">
        <f>M15*(1-CLOSING_COST_PCT-MARKETING_PCT)</f>
        <v/>
      </c>
      <c r="N16" s="12">
        <f>N15*(1-CLOSING_COST_PCT-MARKETING_PCT)</f>
        <v/>
      </c>
      <c r="O16" s="12">
        <f>O15*(1-CLOSING_COST_PCT-MARKETING_PCT)</f>
        <v/>
      </c>
      <c r="P16" s="12">
        <f>P15*(1-CLOSING_COST_PCT-MARKETING_PCT)</f>
        <v/>
      </c>
      <c r="Q16" s="12">
        <f>Q15*(1-CLOSING_COST_PCT-MARKETING_PCT)</f>
        <v/>
      </c>
      <c r="R16" s="12">
        <f>R15*(1-CLOSING_COST_PCT-MARKETING_PCT)</f>
        <v/>
      </c>
      <c r="S16" s="12">
        <f>S15*(1-CLOSING_COST_PCT-MARKETING_PCT)</f>
        <v/>
      </c>
      <c r="T16" s="12">
        <f>T15*(1-CLOSING_COST_PCT-MARKETING_PCT)</f>
        <v/>
      </c>
      <c r="U16" s="12">
        <f>U15*(1-CLOSING_COST_PCT-MARKETING_PCT)</f>
        <v/>
      </c>
      <c r="V16" s="12">
        <f>V15*(1-CLOSING_COST_PCT-MARKETING_PCT)</f>
        <v/>
      </c>
      <c r="W16" s="12">
        <f>W15*(1-CLOSING_COST_PCT-MARKETING_PCT)</f>
        <v/>
      </c>
      <c r="X16" s="12">
        <f>X15*(1-CLOSING_COST_PCT-MARKETING_PCT)</f>
        <v/>
      </c>
      <c r="Y16" s="12">
        <f>Y15*(1-CLOSING_COST_PCT-MARKETING_PCT)</f>
        <v/>
      </c>
      <c r="Z16" s="12">
        <f>Z15*(1-CLOSING_COST_PCT-MARKETING_PCT)</f>
        <v/>
      </c>
      <c r="AA16" s="12">
        <f>AA15*(1-CLOSING_COST_PCT-MARKETING_PCT)</f>
        <v/>
      </c>
      <c r="AB16" s="12">
        <f>AB15*(1-CLOSING_COST_PCT-MARKETING_PCT)</f>
        <v/>
      </c>
      <c r="AC16" s="12">
        <f>AC15*(1-CLOSING_COST_PCT-MARKETING_PCT)</f>
        <v/>
      </c>
      <c r="AD16" s="12">
        <f>AD15*(1-CLOSING_COST_PCT-MARKETING_PCT)</f>
        <v/>
      </c>
      <c r="AE16" s="12">
        <f>AE15*(1-CLOSING_COST_PCT-MARKETING_PCT)</f>
        <v/>
      </c>
      <c r="AF16" s="12">
        <f>AF15*(1-CLOSING_COST_PCT-MARKETING_PCT)</f>
        <v/>
      </c>
      <c r="AG16" s="12">
        <f>AG15*(1-CLOSING_COST_PCT-MARKETING_PCT)</f>
        <v/>
      </c>
      <c r="AH16" s="12">
        <f>AH15*(1-CLOSING_COST_PCT-MARKETING_PCT)</f>
        <v/>
      </c>
      <c r="AI16" s="12">
        <f>AI15*(1-CLOSING_COST_PCT-MARKETING_PCT)</f>
        <v/>
      </c>
      <c r="AJ16" s="12">
        <f>AJ15*(1-CLOSING_COST_PCT-MARKETING_PCT)</f>
        <v/>
      </c>
      <c r="AK16" s="12">
        <f>AK15*(1-CLOSING_COST_PCT-MARKETING_PCT)</f>
        <v/>
      </c>
      <c r="AL16" s="12">
        <f>AL15*(1-CLOSING_COST_PCT-MARKETING_PCT)</f>
        <v/>
      </c>
      <c r="AM16" s="12">
        <f>AM15*(1-CLOSING_COST_PCT-MARKETING_PCT)</f>
        <v/>
      </c>
      <c r="AN16" s="12">
        <f>AN15*(1-CLOSING_COST_PCT-MARKETING_PCT)</f>
        <v/>
      </c>
      <c r="AO16" s="12">
        <f>AO15*(1-CLOSING_COST_PCT-MARKETING_PCT)</f>
        <v/>
      </c>
      <c r="AP16" s="12">
        <f>AP15*(1-CLOSING_COST_PCT-MARKETING_PCT)</f>
        <v/>
      </c>
      <c r="AQ16" s="12">
        <f>AQ15*(1-CLOSING_COST_PCT-MARKETING_PCT)</f>
        <v/>
      </c>
      <c r="AR16" s="12">
        <f>AR15*(1-CLOSING_COST_PCT-MARKETING_PCT)</f>
        <v/>
      </c>
      <c r="AS16" s="12">
        <f>AS15*(1-CLOSING_COST_PCT-MARKETING_PCT)</f>
        <v/>
      </c>
      <c r="AT16" s="12">
        <f>AT15*(1-CLOSING_COST_PCT-MARKETING_PCT)</f>
        <v/>
      </c>
      <c r="AU16" s="12">
        <f>AU15*(1-CLOSING_COST_PCT-MARKETING_PCT)</f>
        <v/>
      </c>
      <c r="AV16" s="12">
        <f>AV15*(1-CLOSING_COST_PCT-MARKETING_PCT)</f>
        <v/>
      </c>
      <c r="AW16" s="12">
        <f>AW15*(1-CLOSING_COST_PCT-MARKETING_PCT)</f>
        <v/>
      </c>
      <c r="AX16" s="12">
        <f>AX15*(1-CLOSING_COST_PCT-MARKETING_PCT)</f>
        <v/>
      </c>
      <c r="AY16" s="12">
        <f>AY15*(1-CLOSING_COST_PCT-MARKETING_PCT)</f>
        <v/>
      </c>
      <c r="AZ16" s="12">
        <f>AZ15*(1-CLOSING_COST_PCT-MARKETING_PCT)</f>
        <v/>
      </c>
      <c r="BA16" s="12">
        <f>BA15*(1-CLOSING_COST_PCT-MARKETING_PCT)</f>
        <v/>
      </c>
      <c r="BB16" s="12">
        <f>BB15*(1-CLOSING_COST_PCT-MARKETING_PCT)</f>
        <v/>
      </c>
      <c r="BC16" s="12">
        <f>BC15*(1-CLOSING_COST_PCT-MARKETING_PCT)</f>
        <v/>
      </c>
      <c r="BD16" s="12">
        <f>BD15*(1-CLOSING_COST_PCT-MARKETING_PCT)</f>
        <v/>
      </c>
      <c r="BE16" s="12">
        <f>BE15*(1-CLOSING_COST_PCT-MARKETING_PCT)</f>
        <v/>
      </c>
      <c r="BF16" s="12">
        <f>BF15*(1-CLOSING_COST_PCT-MARKETING_PCT)</f>
        <v/>
      </c>
      <c r="BG16" s="12">
        <f>BG15*(1-CLOSING_COST_PCT-MARKETING_PCT)</f>
        <v/>
      </c>
      <c r="BH16" s="12">
        <f>BH15*(1-CLOSING_COST_PCT-MARKETING_PCT)</f>
        <v/>
      </c>
      <c r="BI16" s="12">
        <f>BI15*(1-CLOSING_COST_PCT-MARKETING_PCT)</f>
        <v/>
      </c>
      <c r="BJ16" s="12">
        <f>BJ15*(1-CLOSING_COST_PCT-MARKETING_PCT)</f>
        <v/>
      </c>
      <c r="BK16" s="12">
        <f>BK15*(1-CLOSING_COST_PCT-MARKETING_PCT)</f>
        <v/>
      </c>
      <c r="BL16" s="12">
        <f>BL15*(1-CLOSING_COST_PCT-MARKETING_PCT)</f>
        <v/>
      </c>
      <c r="BM16" s="12">
        <f>BM15*(1-CLOSING_COST_PCT-MARKETING_PCT)</f>
        <v/>
      </c>
      <c r="BN16" s="12">
        <f>BN15*(1-CLOSING_COST_PCT-MARKETING_PCT)</f>
        <v/>
      </c>
      <c r="BO16" s="12">
        <f>BO15*(1-CLOSING_COST_PCT-MARKETING_PCT)</f>
        <v/>
      </c>
      <c r="BP16" s="12">
        <f>BP15*(1-CLOSING_COST_PCT-MARKETING_PCT)</f>
        <v/>
      </c>
      <c r="BQ16" s="12">
        <f>BQ15*(1-CLOSING_COST_PCT-MARKETING_PCT)</f>
        <v/>
      </c>
      <c r="BR16" s="12">
        <f>BR15*(1-CLOSING_COST_PCT-MARKETING_PCT)</f>
        <v/>
      </c>
      <c r="BS16" s="12">
        <f>BS15*(1-CLOSING_COST_PCT-MARKETING_PCT)</f>
        <v/>
      </c>
      <c r="BT16" s="12">
        <f>BT15*(1-CLOSING_COST_PCT-MARKETING_PCT)</f>
        <v/>
      </c>
      <c r="BU16" s="12">
        <f>BU15*(1-CLOSING_COST_PCT-MARKETING_PCT)</f>
        <v/>
      </c>
      <c r="BV16" s="12">
        <f>BV15*(1-CLOSING_COST_PCT-MARKETING_PCT)</f>
        <v/>
      </c>
      <c r="BW16" s="12">
        <f>BW15*(1-CLOSING_COST_PCT-MARKETING_PCT)</f>
        <v/>
      </c>
      <c r="BX16" s="12">
        <f>BX15*(1-CLOSING_COST_PCT-MARKETING_PCT)</f>
        <v/>
      </c>
      <c r="BY16" s="12">
        <f>BY15*(1-CLOSING_COST_PCT-MARKETING_PCT)</f>
        <v/>
      </c>
      <c r="BZ16" s="12">
        <f>BZ15*(1-CLOSING_COST_PCT-MARKETING_PCT)</f>
        <v/>
      </c>
      <c r="CA16" s="12">
        <f>CA15*(1-CLOSING_COST_PCT-MARKETING_PCT)</f>
        <v/>
      </c>
      <c r="CB16" s="12">
        <f>CB15*(1-CLOSING_COST_PCT-MARKETING_PCT)</f>
        <v/>
      </c>
      <c r="CC16" s="12">
        <f>CC15*(1-CLOSING_COST_PCT-MARKETING_PCT)</f>
        <v/>
      </c>
      <c r="CD16" s="12">
        <f>CD15*(1-CLOSING_COST_PCT-MARKETING_PCT)</f>
        <v/>
      </c>
      <c r="CE16" s="12">
        <f>CE15*(1-CLOSING_COST_PCT-MARKETING_PCT)</f>
        <v/>
      </c>
      <c r="CF16" s="12">
        <f>CF15*(1-CLOSING_COST_PCT-MARKETING_PCT)</f>
        <v/>
      </c>
      <c r="CG16" s="12">
        <f>CG15*(1-CLOSING_COST_PCT-MARKETING_PCT)</f>
        <v/>
      </c>
      <c r="CH16" s="12">
        <f>CH15*(1-CLOSING_COST_PCT-MARKETING_PCT)</f>
        <v/>
      </c>
    </row>
  </sheetData>
  <autoFilter ref="A2:CH2"/>
  <pageMargins left="0.4" right="0.4" top="0.6" bottom="0.5" header="0.25" footer="0.25"/>
  <pageSetup orientation="landscape" paperSize="3" scale="55" fitToHeight="0" fitToWidth="1"/>
  <headerFooter>
    <oddHeader>&amp;LElite Luxury Mixed-Use  |  Illustrative template&amp;CCondoSellout</oddHeader>
    <oddFooter>&amp;LNot a live deal  |  Not an offering  |  Not investment advice&amp;RPage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H12"/>
  <sheetViews>
    <sheetView view="pageBreakPreview" zoomScale="8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</cols>
  <sheetData>
    <row r="1" ht="22" customHeight="1">
      <c r="A1" s="1" t="inlineStr">
        <is>
          <t>RetailProForma</t>
        </is>
      </c>
    </row>
    <row r="2">
      <c r="A2" s="3" t="inlineStr">
        <is>
          <t>Month</t>
        </is>
      </c>
      <c r="B2" t="inlineStr">
        <is>
          <t>index</t>
        </is>
      </c>
      <c r="C2" s="15">
        <f>COLUMN()-2</f>
        <v/>
      </c>
      <c r="D2" s="15">
        <f>COLUMN()-2</f>
        <v/>
      </c>
      <c r="E2" s="15">
        <f>COLUMN()-2</f>
        <v/>
      </c>
      <c r="F2" s="15">
        <f>COLUMN()-2</f>
        <v/>
      </c>
      <c r="G2" s="15">
        <f>COLUMN()-2</f>
        <v/>
      </c>
      <c r="H2" s="15">
        <f>COLUMN()-2</f>
        <v/>
      </c>
      <c r="I2" s="15">
        <f>COLUMN()-2</f>
        <v/>
      </c>
      <c r="J2" s="15">
        <f>COLUMN()-2</f>
        <v/>
      </c>
      <c r="K2" s="15">
        <f>COLUMN()-2</f>
        <v/>
      </c>
      <c r="L2" s="15">
        <f>COLUMN()-2</f>
        <v/>
      </c>
      <c r="M2" s="15">
        <f>COLUMN()-2</f>
        <v/>
      </c>
      <c r="N2" s="15">
        <f>COLUMN()-2</f>
        <v/>
      </c>
      <c r="O2" s="15">
        <f>COLUMN()-2</f>
        <v/>
      </c>
      <c r="P2" s="15">
        <f>COLUMN()-2</f>
        <v/>
      </c>
      <c r="Q2" s="15">
        <f>COLUMN()-2</f>
        <v/>
      </c>
      <c r="R2" s="15">
        <f>COLUMN()-2</f>
        <v/>
      </c>
      <c r="S2" s="15">
        <f>COLUMN()-2</f>
        <v/>
      </c>
      <c r="T2" s="15">
        <f>COLUMN()-2</f>
        <v/>
      </c>
      <c r="U2" s="15">
        <f>COLUMN()-2</f>
        <v/>
      </c>
      <c r="V2" s="15">
        <f>COLUMN()-2</f>
        <v/>
      </c>
      <c r="W2" s="15">
        <f>COLUMN()-2</f>
        <v/>
      </c>
      <c r="X2" s="15">
        <f>COLUMN()-2</f>
        <v/>
      </c>
      <c r="Y2" s="15">
        <f>COLUMN()-2</f>
        <v/>
      </c>
      <c r="Z2" s="15">
        <f>COLUMN()-2</f>
        <v/>
      </c>
      <c r="AA2" s="15">
        <f>COLUMN()-2</f>
        <v/>
      </c>
      <c r="AB2" s="15">
        <f>COLUMN()-2</f>
        <v/>
      </c>
      <c r="AC2" s="15">
        <f>COLUMN()-2</f>
        <v/>
      </c>
      <c r="AD2" s="15">
        <f>COLUMN()-2</f>
        <v/>
      </c>
      <c r="AE2" s="15">
        <f>COLUMN()-2</f>
        <v/>
      </c>
      <c r="AF2" s="15">
        <f>COLUMN()-2</f>
        <v/>
      </c>
      <c r="AG2" s="15">
        <f>COLUMN()-2</f>
        <v/>
      </c>
      <c r="AH2" s="15">
        <f>COLUMN()-2</f>
        <v/>
      </c>
      <c r="AI2" s="15">
        <f>COLUMN()-2</f>
        <v/>
      </c>
      <c r="AJ2" s="15">
        <f>COLUMN()-2</f>
        <v/>
      </c>
      <c r="AK2" s="15">
        <f>COLUMN()-2</f>
        <v/>
      </c>
      <c r="AL2" s="15">
        <f>COLUMN()-2</f>
        <v/>
      </c>
      <c r="AM2" s="15">
        <f>COLUMN()-2</f>
        <v/>
      </c>
      <c r="AN2" s="15">
        <f>COLUMN()-2</f>
        <v/>
      </c>
      <c r="AO2" s="15">
        <f>COLUMN()-2</f>
        <v/>
      </c>
      <c r="AP2" s="15">
        <f>COLUMN()-2</f>
        <v/>
      </c>
      <c r="AQ2" s="15">
        <f>COLUMN()-2</f>
        <v/>
      </c>
      <c r="AR2" s="15">
        <f>COLUMN()-2</f>
        <v/>
      </c>
      <c r="AS2" s="15">
        <f>COLUMN()-2</f>
        <v/>
      </c>
      <c r="AT2" s="15">
        <f>COLUMN()-2</f>
        <v/>
      </c>
      <c r="AU2" s="15">
        <f>COLUMN()-2</f>
        <v/>
      </c>
      <c r="AV2" s="15">
        <f>COLUMN()-2</f>
        <v/>
      </c>
      <c r="AW2" s="15">
        <f>COLUMN()-2</f>
        <v/>
      </c>
      <c r="AX2" s="15">
        <f>COLUMN()-2</f>
        <v/>
      </c>
      <c r="AY2" s="15">
        <f>COLUMN()-2</f>
        <v/>
      </c>
      <c r="AZ2" s="15">
        <f>COLUMN()-2</f>
        <v/>
      </c>
      <c r="BA2" s="15">
        <f>COLUMN()-2</f>
        <v/>
      </c>
      <c r="BB2" s="15">
        <f>COLUMN()-2</f>
        <v/>
      </c>
      <c r="BC2" s="15">
        <f>COLUMN()-2</f>
        <v/>
      </c>
      <c r="BD2" s="15">
        <f>COLUMN()-2</f>
        <v/>
      </c>
      <c r="BE2" s="15">
        <f>COLUMN()-2</f>
        <v/>
      </c>
      <c r="BF2" s="15">
        <f>COLUMN()-2</f>
        <v/>
      </c>
      <c r="BG2" s="15">
        <f>COLUMN()-2</f>
        <v/>
      </c>
      <c r="BH2" s="15">
        <f>COLUMN()-2</f>
        <v/>
      </c>
      <c r="BI2" s="15">
        <f>COLUMN()-2</f>
        <v/>
      </c>
      <c r="BJ2" s="15">
        <f>COLUMN()-2</f>
        <v/>
      </c>
      <c r="BK2" s="15">
        <f>COLUMN()-2</f>
        <v/>
      </c>
      <c r="BL2" s="15">
        <f>COLUMN()-2</f>
        <v/>
      </c>
      <c r="BM2" s="15">
        <f>COLUMN()-2</f>
        <v/>
      </c>
      <c r="BN2" s="15">
        <f>COLUMN()-2</f>
        <v/>
      </c>
      <c r="BO2" s="15">
        <f>COLUMN()-2</f>
        <v/>
      </c>
      <c r="BP2" s="15">
        <f>COLUMN()-2</f>
        <v/>
      </c>
      <c r="BQ2" s="15">
        <f>COLUMN()-2</f>
        <v/>
      </c>
      <c r="BR2" s="15">
        <f>COLUMN()-2</f>
        <v/>
      </c>
      <c r="BS2" s="15">
        <f>COLUMN()-2</f>
        <v/>
      </c>
      <c r="BT2" s="15">
        <f>COLUMN()-2</f>
        <v/>
      </c>
      <c r="BU2" s="15">
        <f>COLUMN()-2</f>
        <v/>
      </c>
      <c r="BV2" s="15">
        <f>COLUMN()-2</f>
        <v/>
      </c>
      <c r="BW2" s="15">
        <f>COLUMN()-2</f>
        <v/>
      </c>
      <c r="BX2" s="15">
        <f>COLUMN()-2</f>
        <v/>
      </c>
      <c r="BY2" s="15">
        <f>COLUMN()-2</f>
        <v/>
      </c>
      <c r="BZ2" s="15">
        <f>COLUMN()-2</f>
        <v/>
      </c>
      <c r="CA2" s="15">
        <f>COLUMN()-2</f>
        <v/>
      </c>
      <c r="CB2" s="15">
        <f>COLUMN()-2</f>
        <v/>
      </c>
      <c r="CC2" s="15">
        <f>COLUMN()-2</f>
        <v/>
      </c>
      <c r="CD2" s="15">
        <f>COLUMN()-2</f>
        <v/>
      </c>
      <c r="CE2" s="15">
        <f>COLUMN()-2</f>
        <v/>
      </c>
      <c r="CF2" s="15">
        <f>COLUMN()-2</f>
        <v/>
      </c>
      <c r="CG2" s="15">
        <f>COLUMN()-2</f>
        <v/>
      </c>
      <c r="CH2" s="15">
        <f>COLUMN()-2</f>
        <v/>
      </c>
    </row>
    <row r="3">
      <c r="A3" s="3" t="inlineStr">
        <is>
          <t>Date</t>
        </is>
      </c>
      <c r="B3" t="inlineStr">
        <is>
          <t>month-end</t>
        </is>
      </c>
      <c r="C3" s="11">
        <f>EOMONTH(DATE(2026,1,1),C2-1)</f>
        <v/>
      </c>
      <c r="D3" s="11">
        <f>EOMONTH(DATE(2026,1,1),D2-1)</f>
        <v/>
      </c>
      <c r="E3" s="11">
        <f>EOMONTH(DATE(2026,1,1),E2-1)</f>
        <v/>
      </c>
      <c r="F3" s="11">
        <f>EOMONTH(DATE(2026,1,1),F2-1)</f>
        <v/>
      </c>
      <c r="G3" s="11">
        <f>EOMONTH(DATE(2026,1,1),G2-1)</f>
        <v/>
      </c>
      <c r="H3" s="11">
        <f>EOMONTH(DATE(2026,1,1),H2-1)</f>
        <v/>
      </c>
      <c r="I3" s="11">
        <f>EOMONTH(DATE(2026,1,1),I2-1)</f>
        <v/>
      </c>
      <c r="J3" s="11">
        <f>EOMONTH(DATE(2026,1,1),J2-1)</f>
        <v/>
      </c>
      <c r="K3" s="11">
        <f>EOMONTH(DATE(2026,1,1),K2-1)</f>
        <v/>
      </c>
      <c r="L3" s="11">
        <f>EOMONTH(DATE(2026,1,1),L2-1)</f>
        <v/>
      </c>
      <c r="M3" s="11">
        <f>EOMONTH(DATE(2026,1,1),M2-1)</f>
        <v/>
      </c>
      <c r="N3" s="11">
        <f>EOMONTH(DATE(2026,1,1),N2-1)</f>
        <v/>
      </c>
      <c r="O3" s="11">
        <f>EOMONTH(DATE(2026,1,1),O2-1)</f>
        <v/>
      </c>
      <c r="P3" s="11">
        <f>EOMONTH(DATE(2026,1,1),P2-1)</f>
        <v/>
      </c>
      <c r="Q3" s="11">
        <f>EOMONTH(DATE(2026,1,1),Q2-1)</f>
        <v/>
      </c>
      <c r="R3" s="11">
        <f>EOMONTH(DATE(2026,1,1),R2-1)</f>
        <v/>
      </c>
      <c r="S3" s="11">
        <f>EOMONTH(DATE(2026,1,1),S2-1)</f>
        <v/>
      </c>
      <c r="T3" s="11">
        <f>EOMONTH(DATE(2026,1,1),T2-1)</f>
        <v/>
      </c>
      <c r="U3" s="11">
        <f>EOMONTH(DATE(2026,1,1),U2-1)</f>
        <v/>
      </c>
      <c r="V3" s="11">
        <f>EOMONTH(DATE(2026,1,1),V2-1)</f>
        <v/>
      </c>
      <c r="W3" s="11">
        <f>EOMONTH(DATE(2026,1,1),W2-1)</f>
        <v/>
      </c>
      <c r="X3" s="11">
        <f>EOMONTH(DATE(2026,1,1),X2-1)</f>
        <v/>
      </c>
      <c r="Y3" s="11">
        <f>EOMONTH(DATE(2026,1,1),Y2-1)</f>
        <v/>
      </c>
      <c r="Z3" s="11">
        <f>EOMONTH(DATE(2026,1,1),Z2-1)</f>
        <v/>
      </c>
      <c r="AA3" s="11">
        <f>EOMONTH(DATE(2026,1,1),AA2-1)</f>
        <v/>
      </c>
      <c r="AB3" s="11">
        <f>EOMONTH(DATE(2026,1,1),AB2-1)</f>
        <v/>
      </c>
      <c r="AC3" s="11">
        <f>EOMONTH(DATE(2026,1,1),AC2-1)</f>
        <v/>
      </c>
      <c r="AD3" s="11">
        <f>EOMONTH(DATE(2026,1,1),AD2-1)</f>
        <v/>
      </c>
      <c r="AE3" s="11">
        <f>EOMONTH(DATE(2026,1,1),AE2-1)</f>
        <v/>
      </c>
      <c r="AF3" s="11">
        <f>EOMONTH(DATE(2026,1,1),AF2-1)</f>
        <v/>
      </c>
      <c r="AG3" s="11">
        <f>EOMONTH(DATE(2026,1,1),AG2-1)</f>
        <v/>
      </c>
      <c r="AH3" s="11">
        <f>EOMONTH(DATE(2026,1,1),AH2-1)</f>
        <v/>
      </c>
      <c r="AI3" s="11">
        <f>EOMONTH(DATE(2026,1,1),AI2-1)</f>
        <v/>
      </c>
      <c r="AJ3" s="11">
        <f>EOMONTH(DATE(2026,1,1),AJ2-1)</f>
        <v/>
      </c>
      <c r="AK3" s="11">
        <f>EOMONTH(DATE(2026,1,1),AK2-1)</f>
        <v/>
      </c>
      <c r="AL3" s="11">
        <f>EOMONTH(DATE(2026,1,1),AL2-1)</f>
        <v/>
      </c>
      <c r="AM3" s="11">
        <f>EOMONTH(DATE(2026,1,1),AM2-1)</f>
        <v/>
      </c>
      <c r="AN3" s="11">
        <f>EOMONTH(DATE(2026,1,1),AN2-1)</f>
        <v/>
      </c>
      <c r="AO3" s="11">
        <f>EOMONTH(DATE(2026,1,1),AO2-1)</f>
        <v/>
      </c>
      <c r="AP3" s="11">
        <f>EOMONTH(DATE(2026,1,1),AP2-1)</f>
        <v/>
      </c>
      <c r="AQ3" s="11">
        <f>EOMONTH(DATE(2026,1,1),AQ2-1)</f>
        <v/>
      </c>
      <c r="AR3" s="11">
        <f>EOMONTH(DATE(2026,1,1),AR2-1)</f>
        <v/>
      </c>
      <c r="AS3" s="11">
        <f>EOMONTH(DATE(2026,1,1),AS2-1)</f>
        <v/>
      </c>
      <c r="AT3" s="11">
        <f>EOMONTH(DATE(2026,1,1),AT2-1)</f>
        <v/>
      </c>
      <c r="AU3" s="11">
        <f>EOMONTH(DATE(2026,1,1),AU2-1)</f>
        <v/>
      </c>
      <c r="AV3" s="11">
        <f>EOMONTH(DATE(2026,1,1),AV2-1)</f>
        <v/>
      </c>
      <c r="AW3" s="11">
        <f>EOMONTH(DATE(2026,1,1),AW2-1)</f>
        <v/>
      </c>
      <c r="AX3" s="11">
        <f>EOMONTH(DATE(2026,1,1),AX2-1)</f>
        <v/>
      </c>
      <c r="AY3" s="11">
        <f>EOMONTH(DATE(2026,1,1),AY2-1)</f>
        <v/>
      </c>
      <c r="AZ3" s="11">
        <f>EOMONTH(DATE(2026,1,1),AZ2-1)</f>
        <v/>
      </c>
      <c r="BA3" s="11">
        <f>EOMONTH(DATE(2026,1,1),BA2-1)</f>
        <v/>
      </c>
      <c r="BB3" s="11">
        <f>EOMONTH(DATE(2026,1,1),BB2-1)</f>
        <v/>
      </c>
      <c r="BC3" s="11">
        <f>EOMONTH(DATE(2026,1,1),BC2-1)</f>
        <v/>
      </c>
      <c r="BD3" s="11">
        <f>EOMONTH(DATE(2026,1,1),BD2-1)</f>
        <v/>
      </c>
      <c r="BE3" s="11">
        <f>EOMONTH(DATE(2026,1,1),BE2-1)</f>
        <v/>
      </c>
      <c r="BF3" s="11">
        <f>EOMONTH(DATE(2026,1,1),BF2-1)</f>
        <v/>
      </c>
      <c r="BG3" s="11">
        <f>EOMONTH(DATE(2026,1,1),BG2-1)</f>
        <v/>
      </c>
      <c r="BH3" s="11">
        <f>EOMONTH(DATE(2026,1,1),BH2-1)</f>
        <v/>
      </c>
      <c r="BI3" s="11">
        <f>EOMONTH(DATE(2026,1,1),BI2-1)</f>
        <v/>
      </c>
      <c r="BJ3" s="11">
        <f>EOMONTH(DATE(2026,1,1),BJ2-1)</f>
        <v/>
      </c>
      <c r="BK3" s="11">
        <f>EOMONTH(DATE(2026,1,1),BK2-1)</f>
        <v/>
      </c>
      <c r="BL3" s="11">
        <f>EOMONTH(DATE(2026,1,1),BL2-1)</f>
        <v/>
      </c>
      <c r="BM3" s="11">
        <f>EOMONTH(DATE(2026,1,1),BM2-1)</f>
        <v/>
      </c>
      <c r="BN3" s="11">
        <f>EOMONTH(DATE(2026,1,1),BN2-1)</f>
        <v/>
      </c>
      <c r="BO3" s="11">
        <f>EOMONTH(DATE(2026,1,1),BO2-1)</f>
        <v/>
      </c>
      <c r="BP3" s="11">
        <f>EOMONTH(DATE(2026,1,1),BP2-1)</f>
        <v/>
      </c>
      <c r="BQ3" s="11">
        <f>EOMONTH(DATE(2026,1,1),BQ2-1)</f>
        <v/>
      </c>
      <c r="BR3" s="11">
        <f>EOMONTH(DATE(2026,1,1),BR2-1)</f>
        <v/>
      </c>
      <c r="BS3" s="11">
        <f>EOMONTH(DATE(2026,1,1),BS2-1)</f>
        <v/>
      </c>
      <c r="BT3" s="11">
        <f>EOMONTH(DATE(2026,1,1),BT2-1)</f>
        <v/>
      </c>
      <c r="BU3" s="11">
        <f>EOMONTH(DATE(2026,1,1),BU2-1)</f>
        <v/>
      </c>
      <c r="BV3" s="11">
        <f>EOMONTH(DATE(2026,1,1),BV2-1)</f>
        <v/>
      </c>
      <c r="BW3" s="11">
        <f>EOMONTH(DATE(2026,1,1),BW2-1)</f>
        <v/>
      </c>
      <c r="BX3" s="11">
        <f>EOMONTH(DATE(2026,1,1),BX2-1)</f>
        <v/>
      </c>
      <c r="BY3" s="11">
        <f>EOMONTH(DATE(2026,1,1),BY2-1)</f>
        <v/>
      </c>
      <c r="BZ3" s="11">
        <f>EOMONTH(DATE(2026,1,1),BZ2-1)</f>
        <v/>
      </c>
      <c r="CA3" s="11">
        <f>EOMONTH(DATE(2026,1,1),CA2-1)</f>
        <v/>
      </c>
      <c r="CB3" s="11">
        <f>EOMONTH(DATE(2026,1,1),CB2-1)</f>
        <v/>
      </c>
      <c r="CC3" s="11">
        <f>EOMONTH(DATE(2026,1,1),CC2-1)</f>
        <v/>
      </c>
      <c r="CD3" s="11">
        <f>EOMONTH(DATE(2026,1,1),CD2-1)</f>
        <v/>
      </c>
      <c r="CE3" s="11">
        <f>EOMONTH(DATE(2026,1,1),CE2-1)</f>
        <v/>
      </c>
      <c r="CF3" s="11">
        <f>EOMONTH(DATE(2026,1,1),CF2-1)</f>
        <v/>
      </c>
      <c r="CG3" s="11">
        <f>EOMONTH(DATE(2026,1,1),CG2-1)</f>
        <v/>
      </c>
      <c r="CH3" s="11">
        <f>EOMONTH(DATE(2026,1,1),CH2-1)</f>
        <v/>
      </c>
    </row>
    <row r="4">
      <c r="A4" s="3" t="inlineStr">
        <is>
          <t>Operating</t>
        </is>
      </c>
      <c r="B4" s="4" t="inlineStr">
        <is>
          <t>1/0</t>
        </is>
      </c>
      <c r="C4" s="10">
        <f>IF(C2&gt;=RETAIL_OPEN_M,1,0)</f>
        <v/>
      </c>
      <c r="D4" s="10">
        <f>IF(D2&gt;=RETAIL_OPEN_M,1,0)</f>
        <v/>
      </c>
      <c r="E4" s="10">
        <f>IF(E2&gt;=RETAIL_OPEN_M,1,0)</f>
        <v/>
      </c>
      <c r="F4" s="10">
        <f>IF(F2&gt;=RETAIL_OPEN_M,1,0)</f>
        <v/>
      </c>
      <c r="G4" s="10">
        <f>IF(G2&gt;=RETAIL_OPEN_M,1,0)</f>
        <v/>
      </c>
      <c r="H4" s="10">
        <f>IF(H2&gt;=RETAIL_OPEN_M,1,0)</f>
        <v/>
      </c>
      <c r="I4" s="10">
        <f>IF(I2&gt;=RETAIL_OPEN_M,1,0)</f>
        <v/>
      </c>
      <c r="J4" s="10">
        <f>IF(J2&gt;=RETAIL_OPEN_M,1,0)</f>
        <v/>
      </c>
      <c r="K4" s="10">
        <f>IF(K2&gt;=RETAIL_OPEN_M,1,0)</f>
        <v/>
      </c>
      <c r="L4" s="10">
        <f>IF(L2&gt;=RETAIL_OPEN_M,1,0)</f>
        <v/>
      </c>
      <c r="M4" s="10">
        <f>IF(M2&gt;=RETAIL_OPEN_M,1,0)</f>
        <v/>
      </c>
      <c r="N4" s="10">
        <f>IF(N2&gt;=RETAIL_OPEN_M,1,0)</f>
        <v/>
      </c>
      <c r="O4" s="10">
        <f>IF(O2&gt;=RETAIL_OPEN_M,1,0)</f>
        <v/>
      </c>
      <c r="P4" s="10">
        <f>IF(P2&gt;=RETAIL_OPEN_M,1,0)</f>
        <v/>
      </c>
      <c r="Q4" s="10">
        <f>IF(Q2&gt;=RETAIL_OPEN_M,1,0)</f>
        <v/>
      </c>
      <c r="R4" s="10">
        <f>IF(R2&gt;=RETAIL_OPEN_M,1,0)</f>
        <v/>
      </c>
      <c r="S4" s="10">
        <f>IF(S2&gt;=RETAIL_OPEN_M,1,0)</f>
        <v/>
      </c>
      <c r="T4" s="10">
        <f>IF(T2&gt;=RETAIL_OPEN_M,1,0)</f>
        <v/>
      </c>
      <c r="U4" s="10">
        <f>IF(U2&gt;=RETAIL_OPEN_M,1,0)</f>
        <v/>
      </c>
      <c r="V4" s="10">
        <f>IF(V2&gt;=RETAIL_OPEN_M,1,0)</f>
        <v/>
      </c>
      <c r="W4" s="10">
        <f>IF(W2&gt;=RETAIL_OPEN_M,1,0)</f>
        <v/>
      </c>
      <c r="X4" s="10">
        <f>IF(X2&gt;=RETAIL_OPEN_M,1,0)</f>
        <v/>
      </c>
      <c r="Y4" s="10">
        <f>IF(Y2&gt;=RETAIL_OPEN_M,1,0)</f>
        <v/>
      </c>
      <c r="Z4" s="10">
        <f>IF(Z2&gt;=RETAIL_OPEN_M,1,0)</f>
        <v/>
      </c>
      <c r="AA4" s="10">
        <f>IF(AA2&gt;=RETAIL_OPEN_M,1,0)</f>
        <v/>
      </c>
      <c r="AB4" s="10">
        <f>IF(AB2&gt;=RETAIL_OPEN_M,1,0)</f>
        <v/>
      </c>
      <c r="AC4" s="10">
        <f>IF(AC2&gt;=RETAIL_OPEN_M,1,0)</f>
        <v/>
      </c>
      <c r="AD4" s="10">
        <f>IF(AD2&gt;=RETAIL_OPEN_M,1,0)</f>
        <v/>
      </c>
      <c r="AE4" s="10">
        <f>IF(AE2&gt;=RETAIL_OPEN_M,1,0)</f>
        <v/>
      </c>
      <c r="AF4" s="10">
        <f>IF(AF2&gt;=RETAIL_OPEN_M,1,0)</f>
        <v/>
      </c>
      <c r="AG4" s="10">
        <f>IF(AG2&gt;=RETAIL_OPEN_M,1,0)</f>
        <v/>
      </c>
      <c r="AH4" s="10">
        <f>IF(AH2&gt;=RETAIL_OPEN_M,1,0)</f>
        <v/>
      </c>
      <c r="AI4" s="10">
        <f>IF(AI2&gt;=RETAIL_OPEN_M,1,0)</f>
        <v/>
      </c>
      <c r="AJ4" s="10">
        <f>IF(AJ2&gt;=RETAIL_OPEN_M,1,0)</f>
        <v/>
      </c>
      <c r="AK4" s="10">
        <f>IF(AK2&gt;=RETAIL_OPEN_M,1,0)</f>
        <v/>
      </c>
      <c r="AL4" s="10">
        <f>IF(AL2&gt;=RETAIL_OPEN_M,1,0)</f>
        <v/>
      </c>
      <c r="AM4" s="10">
        <f>IF(AM2&gt;=RETAIL_OPEN_M,1,0)</f>
        <v/>
      </c>
      <c r="AN4" s="10">
        <f>IF(AN2&gt;=RETAIL_OPEN_M,1,0)</f>
        <v/>
      </c>
      <c r="AO4" s="10">
        <f>IF(AO2&gt;=RETAIL_OPEN_M,1,0)</f>
        <v/>
      </c>
      <c r="AP4" s="10">
        <f>IF(AP2&gt;=RETAIL_OPEN_M,1,0)</f>
        <v/>
      </c>
      <c r="AQ4" s="10">
        <f>IF(AQ2&gt;=RETAIL_OPEN_M,1,0)</f>
        <v/>
      </c>
      <c r="AR4" s="10">
        <f>IF(AR2&gt;=RETAIL_OPEN_M,1,0)</f>
        <v/>
      </c>
      <c r="AS4" s="10">
        <f>IF(AS2&gt;=RETAIL_OPEN_M,1,0)</f>
        <v/>
      </c>
      <c r="AT4" s="10">
        <f>IF(AT2&gt;=RETAIL_OPEN_M,1,0)</f>
        <v/>
      </c>
      <c r="AU4" s="10">
        <f>IF(AU2&gt;=RETAIL_OPEN_M,1,0)</f>
        <v/>
      </c>
      <c r="AV4" s="10">
        <f>IF(AV2&gt;=RETAIL_OPEN_M,1,0)</f>
        <v/>
      </c>
      <c r="AW4" s="10">
        <f>IF(AW2&gt;=RETAIL_OPEN_M,1,0)</f>
        <v/>
      </c>
      <c r="AX4" s="10">
        <f>IF(AX2&gt;=RETAIL_OPEN_M,1,0)</f>
        <v/>
      </c>
      <c r="AY4" s="10">
        <f>IF(AY2&gt;=RETAIL_OPEN_M,1,0)</f>
        <v/>
      </c>
      <c r="AZ4" s="10">
        <f>IF(AZ2&gt;=RETAIL_OPEN_M,1,0)</f>
        <v/>
      </c>
      <c r="BA4" s="10">
        <f>IF(BA2&gt;=RETAIL_OPEN_M,1,0)</f>
        <v/>
      </c>
      <c r="BB4" s="10">
        <f>IF(BB2&gt;=RETAIL_OPEN_M,1,0)</f>
        <v/>
      </c>
      <c r="BC4" s="10">
        <f>IF(BC2&gt;=RETAIL_OPEN_M,1,0)</f>
        <v/>
      </c>
      <c r="BD4" s="10">
        <f>IF(BD2&gt;=RETAIL_OPEN_M,1,0)</f>
        <v/>
      </c>
      <c r="BE4" s="10">
        <f>IF(BE2&gt;=RETAIL_OPEN_M,1,0)</f>
        <v/>
      </c>
      <c r="BF4" s="10">
        <f>IF(BF2&gt;=RETAIL_OPEN_M,1,0)</f>
        <v/>
      </c>
      <c r="BG4" s="10">
        <f>IF(BG2&gt;=RETAIL_OPEN_M,1,0)</f>
        <v/>
      </c>
      <c r="BH4" s="10">
        <f>IF(BH2&gt;=RETAIL_OPEN_M,1,0)</f>
        <v/>
      </c>
      <c r="BI4" s="10">
        <f>IF(BI2&gt;=RETAIL_OPEN_M,1,0)</f>
        <v/>
      </c>
      <c r="BJ4" s="10">
        <f>IF(BJ2&gt;=RETAIL_OPEN_M,1,0)</f>
        <v/>
      </c>
      <c r="BK4" s="10">
        <f>IF(BK2&gt;=RETAIL_OPEN_M,1,0)</f>
        <v/>
      </c>
      <c r="BL4" s="10">
        <f>IF(BL2&gt;=RETAIL_OPEN_M,1,0)</f>
        <v/>
      </c>
      <c r="BM4" s="10">
        <f>IF(BM2&gt;=RETAIL_OPEN_M,1,0)</f>
        <v/>
      </c>
      <c r="BN4" s="10">
        <f>IF(BN2&gt;=RETAIL_OPEN_M,1,0)</f>
        <v/>
      </c>
      <c r="BO4" s="10">
        <f>IF(BO2&gt;=RETAIL_OPEN_M,1,0)</f>
        <v/>
      </c>
      <c r="BP4" s="10">
        <f>IF(BP2&gt;=RETAIL_OPEN_M,1,0)</f>
        <v/>
      </c>
      <c r="BQ4" s="10">
        <f>IF(BQ2&gt;=RETAIL_OPEN_M,1,0)</f>
        <v/>
      </c>
      <c r="BR4" s="10">
        <f>IF(BR2&gt;=RETAIL_OPEN_M,1,0)</f>
        <v/>
      </c>
      <c r="BS4" s="10">
        <f>IF(BS2&gt;=RETAIL_OPEN_M,1,0)</f>
        <v/>
      </c>
      <c r="BT4" s="10">
        <f>IF(BT2&gt;=RETAIL_OPEN_M,1,0)</f>
        <v/>
      </c>
      <c r="BU4" s="10">
        <f>IF(BU2&gt;=RETAIL_OPEN_M,1,0)</f>
        <v/>
      </c>
      <c r="BV4" s="10">
        <f>IF(BV2&gt;=RETAIL_OPEN_M,1,0)</f>
        <v/>
      </c>
      <c r="BW4" s="10">
        <f>IF(BW2&gt;=RETAIL_OPEN_M,1,0)</f>
        <v/>
      </c>
      <c r="BX4" s="10">
        <f>IF(BX2&gt;=RETAIL_OPEN_M,1,0)</f>
        <v/>
      </c>
      <c r="BY4" s="10">
        <f>IF(BY2&gt;=RETAIL_OPEN_M,1,0)</f>
        <v/>
      </c>
      <c r="BZ4" s="10">
        <f>IF(BZ2&gt;=RETAIL_OPEN_M,1,0)</f>
        <v/>
      </c>
      <c r="CA4" s="10">
        <f>IF(CA2&gt;=RETAIL_OPEN_M,1,0)</f>
        <v/>
      </c>
      <c r="CB4" s="10">
        <f>IF(CB2&gt;=RETAIL_OPEN_M,1,0)</f>
        <v/>
      </c>
      <c r="CC4" s="10">
        <f>IF(CC2&gt;=RETAIL_OPEN_M,1,0)</f>
        <v/>
      </c>
      <c r="CD4" s="10">
        <f>IF(CD2&gt;=RETAIL_OPEN_M,1,0)</f>
        <v/>
      </c>
      <c r="CE4" s="10">
        <f>IF(CE2&gt;=RETAIL_OPEN_M,1,0)</f>
        <v/>
      </c>
      <c r="CF4" s="10">
        <f>IF(CF2&gt;=RETAIL_OPEN_M,1,0)</f>
        <v/>
      </c>
      <c r="CG4" s="10">
        <f>IF(CG2&gt;=RETAIL_OPEN_M,1,0)</f>
        <v/>
      </c>
      <c r="CH4" s="10">
        <f>IF(CH2&gt;=RETAIL_OPEN_M,1,0)</f>
        <v/>
      </c>
    </row>
    <row r="5">
      <c r="A5" s="3" t="inlineStr">
        <is>
          <t>Months from open</t>
        </is>
      </c>
      <c r="B5" s="4" t="inlineStr">
        <is>
          <t>months</t>
        </is>
      </c>
      <c r="C5" s="10">
        <f>IF(C4=1,C2-RETAIL_OPEN_M,0)</f>
        <v/>
      </c>
      <c r="D5" s="10">
        <f>IF(D4=1,D2-RETAIL_OPEN_M,0)</f>
        <v/>
      </c>
      <c r="E5" s="10">
        <f>IF(E4=1,E2-RETAIL_OPEN_M,0)</f>
        <v/>
      </c>
      <c r="F5" s="10">
        <f>IF(F4=1,F2-RETAIL_OPEN_M,0)</f>
        <v/>
      </c>
      <c r="G5" s="10">
        <f>IF(G4=1,G2-RETAIL_OPEN_M,0)</f>
        <v/>
      </c>
      <c r="H5" s="10">
        <f>IF(H4=1,H2-RETAIL_OPEN_M,0)</f>
        <v/>
      </c>
      <c r="I5" s="10">
        <f>IF(I4=1,I2-RETAIL_OPEN_M,0)</f>
        <v/>
      </c>
      <c r="J5" s="10">
        <f>IF(J4=1,J2-RETAIL_OPEN_M,0)</f>
        <v/>
      </c>
      <c r="K5" s="10">
        <f>IF(K4=1,K2-RETAIL_OPEN_M,0)</f>
        <v/>
      </c>
      <c r="L5" s="10">
        <f>IF(L4=1,L2-RETAIL_OPEN_M,0)</f>
        <v/>
      </c>
      <c r="M5" s="10">
        <f>IF(M4=1,M2-RETAIL_OPEN_M,0)</f>
        <v/>
      </c>
      <c r="N5" s="10">
        <f>IF(N4=1,N2-RETAIL_OPEN_M,0)</f>
        <v/>
      </c>
      <c r="O5" s="10">
        <f>IF(O4=1,O2-RETAIL_OPEN_M,0)</f>
        <v/>
      </c>
      <c r="P5" s="10">
        <f>IF(P4=1,P2-RETAIL_OPEN_M,0)</f>
        <v/>
      </c>
      <c r="Q5" s="10">
        <f>IF(Q4=1,Q2-RETAIL_OPEN_M,0)</f>
        <v/>
      </c>
      <c r="R5" s="10">
        <f>IF(R4=1,R2-RETAIL_OPEN_M,0)</f>
        <v/>
      </c>
      <c r="S5" s="10">
        <f>IF(S4=1,S2-RETAIL_OPEN_M,0)</f>
        <v/>
      </c>
      <c r="T5" s="10">
        <f>IF(T4=1,T2-RETAIL_OPEN_M,0)</f>
        <v/>
      </c>
      <c r="U5" s="10">
        <f>IF(U4=1,U2-RETAIL_OPEN_M,0)</f>
        <v/>
      </c>
      <c r="V5" s="10">
        <f>IF(V4=1,V2-RETAIL_OPEN_M,0)</f>
        <v/>
      </c>
      <c r="W5" s="10">
        <f>IF(W4=1,W2-RETAIL_OPEN_M,0)</f>
        <v/>
      </c>
      <c r="X5" s="10">
        <f>IF(X4=1,X2-RETAIL_OPEN_M,0)</f>
        <v/>
      </c>
      <c r="Y5" s="10">
        <f>IF(Y4=1,Y2-RETAIL_OPEN_M,0)</f>
        <v/>
      </c>
      <c r="Z5" s="10">
        <f>IF(Z4=1,Z2-RETAIL_OPEN_M,0)</f>
        <v/>
      </c>
      <c r="AA5" s="10">
        <f>IF(AA4=1,AA2-RETAIL_OPEN_M,0)</f>
        <v/>
      </c>
      <c r="AB5" s="10">
        <f>IF(AB4=1,AB2-RETAIL_OPEN_M,0)</f>
        <v/>
      </c>
      <c r="AC5" s="10">
        <f>IF(AC4=1,AC2-RETAIL_OPEN_M,0)</f>
        <v/>
      </c>
      <c r="AD5" s="10">
        <f>IF(AD4=1,AD2-RETAIL_OPEN_M,0)</f>
        <v/>
      </c>
      <c r="AE5" s="10">
        <f>IF(AE4=1,AE2-RETAIL_OPEN_M,0)</f>
        <v/>
      </c>
      <c r="AF5" s="10">
        <f>IF(AF4=1,AF2-RETAIL_OPEN_M,0)</f>
        <v/>
      </c>
      <c r="AG5" s="10">
        <f>IF(AG4=1,AG2-RETAIL_OPEN_M,0)</f>
        <v/>
      </c>
      <c r="AH5" s="10">
        <f>IF(AH4=1,AH2-RETAIL_OPEN_M,0)</f>
        <v/>
      </c>
      <c r="AI5" s="10">
        <f>IF(AI4=1,AI2-RETAIL_OPEN_M,0)</f>
        <v/>
      </c>
      <c r="AJ5" s="10">
        <f>IF(AJ4=1,AJ2-RETAIL_OPEN_M,0)</f>
        <v/>
      </c>
      <c r="AK5" s="10">
        <f>IF(AK4=1,AK2-RETAIL_OPEN_M,0)</f>
        <v/>
      </c>
      <c r="AL5" s="10">
        <f>IF(AL4=1,AL2-RETAIL_OPEN_M,0)</f>
        <v/>
      </c>
      <c r="AM5" s="10">
        <f>IF(AM4=1,AM2-RETAIL_OPEN_M,0)</f>
        <v/>
      </c>
      <c r="AN5" s="10">
        <f>IF(AN4=1,AN2-RETAIL_OPEN_M,0)</f>
        <v/>
      </c>
      <c r="AO5" s="10">
        <f>IF(AO4=1,AO2-RETAIL_OPEN_M,0)</f>
        <v/>
      </c>
      <c r="AP5" s="10">
        <f>IF(AP4=1,AP2-RETAIL_OPEN_M,0)</f>
        <v/>
      </c>
      <c r="AQ5" s="10">
        <f>IF(AQ4=1,AQ2-RETAIL_OPEN_M,0)</f>
        <v/>
      </c>
      <c r="AR5" s="10">
        <f>IF(AR4=1,AR2-RETAIL_OPEN_M,0)</f>
        <v/>
      </c>
      <c r="AS5" s="10">
        <f>IF(AS4=1,AS2-RETAIL_OPEN_M,0)</f>
        <v/>
      </c>
      <c r="AT5" s="10">
        <f>IF(AT4=1,AT2-RETAIL_OPEN_M,0)</f>
        <v/>
      </c>
      <c r="AU5" s="10">
        <f>IF(AU4=1,AU2-RETAIL_OPEN_M,0)</f>
        <v/>
      </c>
      <c r="AV5" s="10">
        <f>IF(AV4=1,AV2-RETAIL_OPEN_M,0)</f>
        <v/>
      </c>
      <c r="AW5" s="10">
        <f>IF(AW4=1,AW2-RETAIL_OPEN_M,0)</f>
        <v/>
      </c>
      <c r="AX5" s="10">
        <f>IF(AX4=1,AX2-RETAIL_OPEN_M,0)</f>
        <v/>
      </c>
      <c r="AY5" s="10">
        <f>IF(AY4=1,AY2-RETAIL_OPEN_M,0)</f>
        <v/>
      </c>
      <c r="AZ5" s="10">
        <f>IF(AZ4=1,AZ2-RETAIL_OPEN_M,0)</f>
        <v/>
      </c>
      <c r="BA5" s="10">
        <f>IF(BA4=1,BA2-RETAIL_OPEN_M,0)</f>
        <v/>
      </c>
      <c r="BB5" s="10">
        <f>IF(BB4=1,BB2-RETAIL_OPEN_M,0)</f>
        <v/>
      </c>
      <c r="BC5" s="10">
        <f>IF(BC4=1,BC2-RETAIL_OPEN_M,0)</f>
        <v/>
      </c>
      <c r="BD5" s="10">
        <f>IF(BD4=1,BD2-RETAIL_OPEN_M,0)</f>
        <v/>
      </c>
      <c r="BE5" s="10">
        <f>IF(BE4=1,BE2-RETAIL_OPEN_M,0)</f>
        <v/>
      </c>
      <c r="BF5" s="10">
        <f>IF(BF4=1,BF2-RETAIL_OPEN_M,0)</f>
        <v/>
      </c>
      <c r="BG5" s="10">
        <f>IF(BG4=1,BG2-RETAIL_OPEN_M,0)</f>
        <v/>
      </c>
      <c r="BH5" s="10">
        <f>IF(BH4=1,BH2-RETAIL_OPEN_M,0)</f>
        <v/>
      </c>
      <c r="BI5" s="10">
        <f>IF(BI4=1,BI2-RETAIL_OPEN_M,0)</f>
        <v/>
      </c>
      <c r="BJ5" s="10">
        <f>IF(BJ4=1,BJ2-RETAIL_OPEN_M,0)</f>
        <v/>
      </c>
      <c r="BK5" s="10">
        <f>IF(BK4=1,BK2-RETAIL_OPEN_M,0)</f>
        <v/>
      </c>
      <c r="BL5" s="10">
        <f>IF(BL4=1,BL2-RETAIL_OPEN_M,0)</f>
        <v/>
      </c>
      <c r="BM5" s="10">
        <f>IF(BM4=1,BM2-RETAIL_OPEN_M,0)</f>
        <v/>
      </c>
      <c r="BN5" s="10">
        <f>IF(BN4=1,BN2-RETAIL_OPEN_M,0)</f>
        <v/>
      </c>
      <c r="BO5" s="10">
        <f>IF(BO4=1,BO2-RETAIL_OPEN_M,0)</f>
        <v/>
      </c>
      <c r="BP5" s="10">
        <f>IF(BP4=1,BP2-RETAIL_OPEN_M,0)</f>
        <v/>
      </c>
      <c r="BQ5" s="10">
        <f>IF(BQ4=1,BQ2-RETAIL_OPEN_M,0)</f>
        <v/>
      </c>
      <c r="BR5" s="10">
        <f>IF(BR4=1,BR2-RETAIL_OPEN_M,0)</f>
        <v/>
      </c>
      <c r="BS5" s="10">
        <f>IF(BS4=1,BS2-RETAIL_OPEN_M,0)</f>
        <v/>
      </c>
      <c r="BT5" s="10">
        <f>IF(BT4=1,BT2-RETAIL_OPEN_M,0)</f>
        <v/>
      </c>
      <c r="BU5" s="10">
        <f>IF(BU4=1,BU2-RETAIL_OPEN_M,0)</f>
        <v/>
      </c>
      <c r="BV5" s="10">
        <f>IF(BV4=1,BV2-RETAIL_OPEN_M,0)</f>
        <v/>
      </c>
      <c r="BW5" s="10">
        <f>IF(BW4=1,BW2-RETAIL_OPEN_M,0)</f>
        <v/>
      </c>
      <c r="BX5" s="10">
        <f>IF(BX4=1,BX2-RETAIL_OPEN_M,0)</f>
        <v/>
      </c>
      <c r="BY5" s="10">
        <f>IF(BY4=1,BY2-RETAIL_OPEN_M,0)</f>
        <v/>
      </c>
      <c r="BZ5" s="10">
        <f>IF(BZ4=1,BZ2-RETAIL_OPEN_M,0)</f>
        <v/>
      </c>
      <c r="CA5" s="10">
        <f>IF(CA4=1,CA2-RETAIL_OPEN_M,0)</f>
        <v/>
      </c>
      <c r="CB5" s="10">
        <f>IF(CB4=1,CB2-RETAIL_OPEN_M,0)</f>
        <v/>
      </c>
      <c r="CC5" s="10">
        <f>IF(CC4=1,CC2-RETAIL_OPEN_M,0)</f>
        <v/>
      </c>
      <c r="CD5" s="10">
        <f>IF(CD4=1,CD2-RETAIL_OPEN_M,0)</f>
        <v/>
      </c>
      <c r="CE5" s="10">
        <f>IF(CE4=1,CE2-RETAIL_OPEN_M,0)</f>
        <v/>
      </c>
      <c r="CF5" s="10">
        <f>IF(CF4=1,CF2-RETAIL_OPEN_M,0)</f>
        <v/>
      </c>
      <c r="CG5" s="10">
        <f>IF(CG4=1,CG2-RETAIL_OPEN_M,0)</f>
        <v/>
      </c>
      <c r="CH5" s="10">
        <f>IF(CH4=1,CH2-RETAIL_OPEN_M,0)</f>
        <v/>
      </c>
    </row>
    <row r="6">
      <c r="A6" s="3" t="inlineStr">
        <is>
          <t>Escalation year index</t>
        </is>
      </c>
      <c r="B6" s="4" t="inlineStr">
        <is>
          <t>year</t>
        </is>
      </c>
      <c r="C6" s="10">
        <f>IF(C4=1,INT(C5/12),0)</f>
        <v/>
      </c>
      <c r="D6" s="10">
        <f>IF(D4=1,INT(D5/12),0)</f>
        <v/>
      </c>
      <c r="E6" s="10">
        <f>IF(E4=1,INT(E5/12),0)</f>
        <v/>
      </c>
      <c r="F6" s="10">
        <f>IF(F4=1,INT(F5/12),0)</f>
        <v/>
      </c>
      <c r="G6" s="10">
        <f>IF(G4=1,INT(G5/12),0)</f>
        <v/>
      </c>
      <c r="H6" s="10">
        <f>IF(H4=1,INT(H5/12),0)</f>
        <v/>
      </c>
      <c r="I6" s="10">
        <f>IF(I4=1,INT(I5/12),0)</f>
        <v/>
      </c>
      <c r="J6" s="10">
        <f>IF(J4=1,INT(J5/12),0)</f>
        <v/>
      </c>
      <c r="K6" s="10">
        <f>IF(K4=1,INT(K5/12),0)</f>
        <v/>
      </c>
      <c r="L6" s="10">
        <f>IF(L4=1,INT(L5/12),0)</f>
        <v/>
      </c>
      <c r="M6" s="10">
        <f>IF(M4=1,INT(M5/12),0)</f>
        <v/>
      </c>
      <c r="N6" s="10">
        <f>IF(N4=1,INT(N5/12),0)</f>
        <v/>
      </c>
      <c r="O6" s="10">
        <f>IF(O4=1,INT(O5/12),0)</f>
        <v/>
      </c>
      <c r="P6" s="10">
        <f>IF(P4=1,INT(P5/12),0)</f>
        <v/>
      </c>
      <c r="Q6" s="10">
        <f>IF(Q4=1,INT(Q5/12),0)</f>
        <v/>
      </c>
      <c r="R6" s="10">
        <f>IF(R4=1,INT(R5/12),0)</f>
        <v/>
      </c>
      <c r="S6" s="10">
        <f>IF(S4=1,INT(S5/12),0)</f>
        <v/>
      </c>
      <c r="T6" s="10">
        <f>IF(T4=1,INT(T5/12),0)</f>
        <v/>
      </c>
      <c r="U6" s="10">
        <f>IF(U4=1,INT(U5/12),0)</f>
        <v/>
      </c>
      <c r="V6" s="10">
        <f>IF(V4=1,INT(V5/12),0)</f>
        <v/>
      </c>
      <c r="W6" s="10">
        <f>IF(W4=1,INT(W5/12),0)</f>
        <v/>
      </c>
      <c r="X6" s="10">
        <f>IF(X4=1,INT(X5/12),0)</f>
        <v/>
      </c>
      <c r="Y6" s="10">
        <f>IF(Y4=1,INT(Y5/12),0)</f>
        <v/>
      </c>
      <c r="Z6" s="10">
        <f>IF(Z4=1,INT(Z5/12),0)</f>
        <v/>
      </c>
      <c r="AA6" s="10">
        <f>IF(AA4=1,INT(AA5/12),0)</f>
        <v/>
      </c>
      <c r="AB6" s="10">
        <f>IF(AB4=1,INT(AB5/12),0)</f>
        <v/>
      </c>
      <c r="AC6" s="10">
        <f>IF(AC4=1,INT(AC5/12),0)</f>
        <v/>
      </c>
      <c r="AD6" s="10">
        <f>IF(AD4=1,INT(AD5/12),0)</f>
        <v/>
      </c>
      <c r="AE6" s="10">
        <f>IF(AE4=1,INT(AE5/12),0)</f>
        <v/>
      </c>
      <c r="AF6" s="10">
        <f>IF(AF4=1,INT(AF5/12),0)</f>
        <v/>
      </c>
      <c r="AG6" s="10">
        <f>IF(AG4=1,INT(AG5/12),0)</f>
        <v/>
      </c>
      <c r="AH6" s="10">
        <f>IF(AH4=1,INT(AH5/12),0)</f>
        <v/>
      </c>
      <c r="AI6" s="10">
        <f>IF(AI4=1,INT(AI5/12),0)</f>
        <v/>
      </c>
      <c r="AJ6" s="10">
        <f>IF(AJ4=1,INT(AJ5/12),0)</f>
        <v/>
      </c>
      <c r="AK6" s="10">
        <f>IF(AK4=1,INT(AK5/12),0)</f>
        <v/>
      </c>
      <c r="AL6" s="10">
        <f>IF(AL4=1,INT(AL5/12),0)</f>
        <v/>
      </c>
      <c r="AM6" s="10">
        <f>IF(AM4=1,INT(AM5/12),0)</f>
        <v/>
      </c>
      <c r="AN6" s="10">
        <f>IF(AN4=1,INT(AN5/12),0)</f>
        <v/>
      </c>
      <c r="AO6" s="10">
        <f>IF(AO4=1,INT(AO5/12),0)</f>
        <v/>
      </c>
      <c r="AP6" s="10">
        <f>IF(AP4=1,INT(AP5/12),0)</f>
        <v/>
      </c>
      <c r="AQ6" s="10">
        <f>IF(AQ4=1,INT(AQ5/12),0)</f>
        <v/>
      </c>
      <c r="AR6" s="10">
        <f>IF(AR4=1,INT(AR5/12),0)</f>
        <v/>
      </c>
      <c r="AS6" s="10">
        <f>IF(AS4=1,INT(AS5/12),0)</f>
        <v/>
      </c>
      <c r="AT6" s="10">
        <f>IF(AT4=1,INT(AT5/12),0)</f>
        <v/>
      </c>
      <c r="AU6" s="10">
        <f>IF(AU4=1,INT(AU5/12),0)</f>
        <v/>
      </c>
      <c r="AV6" s="10">
        <f>IF(AV4=1,INT(AV5/12),0)</f>
        <v/>
      </c>
      <c r="AW6" s="10">
        <f>IF(AW4=1,INT(AW5/12),0)</f>
        <v/>
      </c>
      <c r="AX6" s="10">
        <f>IF(AX4=1,INT(AX5/12),0)</f>
        <v/>
      </c>
      <c r="AY6" s="10">
        <f>IF(AY4=1,INT(AY5/12),0)</f>
        <v/>
      </c>
      <c r="AZ6" s="10">
        <f>IF(AZ4=1,INT(AZ5/12),0)</f>
        <v/>
      </c>
      <c r="BA6" s="10">
        <f>IF(BA4=1,INT(BA5/12),0)</f>
        <v/>
      </c>
      <c r="BB6" s="10">
        <f>IF(BB4=1,INT(BB5/12),0)</f>
        <v/>
      </c>
      <c r="BC6" s="10">
        <f>IF(BC4=1,INT(BC5/12),0)</f>
        <v/>
      </c>
      <c r="BD6" s="10">
        <f>IF(BD4=1,INT(BD5/12),0)</f>
        <v/>
      </c>
      <c r="BE6" s="10">
        <f>IF(BE4=1,INT(BE5/12),0)</f>
        <v/>
      </c>
      <c r="BF6" s="10">
        <f>IF(BF4=1,INT(BF5/12),0)</f>
        <v/>
      </c>
      <c r="BG6" s="10">
        <f>IF(BG4=1,INT(BG5/12),0)</f>
        <v/>
      </c>
      <c r="BH6" s="10">
        <f>IF(BH4=1,INT(BH5/12),0)</f>
        <v/>
      </c>
      <c r="BI6" s="10">
        <f>IF(BI4=1,INT(BI5/12),0)</f>
        <v/>
      </c>
      <c r="BJ6" s="10">
        <f>IF(BJ4=1,INT(BJ5/12),0)</f>
        <v/>
      </c>
      <c r="BK6" s="10">
        <f>IF(BK4=1,INT(BK5/12),0)</f>
        <v/>
      </c>
      <c r="BL6" s="10">
        <f>IF(BL4=1,INT(BL5/12),0)</f>
        <v/>
      </c>
      <c r="BM6" s="10">
        <f>IF(BM4=1,INT(BM5/12),0)</f>
        <v/>
      </c>
      <c r="BN6" s="10">
        <f>IF(BN4=1,INT(BN5/12),0)</f>
        <v/>
      </c>
      <c r="BO6" s="10">
        <f>IF(BO4=1,INT(BO5/12),0)</f>
        <v/>
      </c>
      <c r="BP6" s="10">
        <f>IF(BP4=1,INT(BP5/12),0)</f>
        <v/>
      </c>
      <c r="BQ6" s="10">
        <f>IF(BQ4=1,INT(BQ5/12),0)</f>
        <v/>
      </c>
      <c r="BR6" s="10">
        <f>IF(BR4=1,INT(BR5/12),0)</f>
        <v/>
      </c>
      <c r="BS6" s="10">
        <f>IF(BS4=1,INT(BS5/12),0)</f>
        <v/>
      </c>
      <c r="BT6" s="10">
        <f>IF(BT4=1,INT(BT5/12),0)</f>
        <v/>
      </c>
      <c r="BU6" s="10">
        <f>IF(BU4=1,INT(BU5/12),0)</f>
        <v/>
      </c>
      <c r="BV6" s="10">
        <f>IF(BV4=1,INT(BV5/12),0)</f>
        <v/>
      </c>
      <c r="BW6" s="10">
        <f>IF(BW4=1,INT(BW5/12),0)</f>
        <v/>
      </c>
      <c r="BX6" s="10">
        <f>IF(BX4=1,INT(BX5/12),0)</f>
        <v/>
      </c>
      <c r="BY6" s="10">
        <f>IF(BY4=1,INT(BY5/12),0)</f>
        <v/>
      </c>
      <c r="BZ6" s="10">
        <f>IF(BZ4=1,INT(BZ5/12),0)</f>
        <v/>
      </c>
      <c r="CA6" s="10">
        <f>IF(CA4=1,INT(CA5/12),0)</f>
        <v/>
      </c>
      <c r="CB6" s="10">
        <f>IF(CB4=1,INT(CB5/12),0)</f>
        <v/>
      </c>
      <c r="CC6" s="10">
        <f>IF(CC4=1,INT(CC5/12),0)</f>
        <v/>
      </c>
      <c r="CD6" s="10">
        <f>IF(CD4=1,INT(CD5/12),0)</f>
        <v/>
      </c>
      <c r="CE6" s="10">
        <f>IF(CE4=1,INT(CE5/12),0)</f>
        <v/>
      </c>
      <c r="CF6" s="10">
        <f>IF(CF4=1,INT(CF5/12),0)</f>
        <v/>
      </c>
      <c r="CG6" s="10">
        <f>IF(CG4=1,INT(CG5/12),0)</f>
        <v/>
      </c>
      <c r="CH6" s="10">
        <f>IF(CH4=1,INT(CH5/12),0)</f>
        <v/>
      </c>
    </row>
    <row r="7">
      <c r="A7" s="3" t="inlineStr">
        <is>
          <t>Base rent</t>
        </is>
      </c>
      <c r="B7" s="4" t="inlineStr">
        <is>
          <t>$</t>
        </is>
      </c>
      <c r="C7" s="12">
        <f>IF(C4=1,RETAIL_BASE_PSF*(1+RETAIL_ESC_PCT)^C6*RETAIL_GSF/12,0)</f>
        <v/>
      </c>
      <c r="D7" s="12">
        <f>IF(D4=1,RETAIL_BASE_PSF*(1+RETAIL_ESC_PCT)^D6*RETAIL_GSF/12,0)</f>
        <v/>
      </c>
      <c r="E7" s="12">
        <f>IF(E4=1,RETAIL_BASE_PSF*(1+RETAIL_ESC_PCT)^E6*RETAIL_GSF/12,0)</f>
        <v/>
      </c>
      <c r="F7" s="12">
        <f>IF(F4=1,RETAIL_BASE_PSF*(1+RETAIL_ESC_PCT)^F6*RETAIL_GSF/12,0)</f>
        <v/>
      </c>
      <c r="G7" s="12">
        <f>IF(G4=1,RETAIL_BASE_PSF*(1+RETAIL_ESC_PCT)^G6*RETAIL_GSF/12,0)</f>
        <v/>
      </c>
      <c r="H7" s="12">
        <f>IF(H4=1,RETAIL_BASE_PSF*(1+RETAIL_ESC_PCT)^H6*RETAIL_GSF/12,0)</f>
        <v/>
      </c>
      <c r="I7" s="12">
        <f>IF(I4=1,RETAIL_BASE_PSF*(1+RETAIL_ESC_PCT)^I6*RETAIL_GSF/12,0)</f>
        <v/>
      </c>
      <c r="J7" s="12">
        <f>IF(J4=1,RETAIL_BASE_PSF*(1+RETAIL_ESC_PCT)^J6*RETAIL_GSF/12,0)</f>
        <v/>
      </c>
      <c r="K7" s="12">
        <f>IF(K4=1,RETAIL_BASE_PSF*(1+RETAIL_ESC_PCT)^K6*RETAIL_GSF/12,0)</f>
        <v/>
      </c>
      <c r="L7" s="12">
        <f>IF(L4=1,RETAIL_BASE_PSF*(1+RETAIL_ESC_PCT)^L6*RETAIL_GSF/12,0)</f>
        <v/>
      </c>
      <c r="M7" s="12">
        <f>IF(M4=1,RETAIL_BASE_PSF*(1+RETAIL_ESC_PCT)^M6*RETAIL_GSF/12,0)</f>
        <v/>
      </c>
      <c r="N7" s="12">
        <f>IF(N4=1,RETAIL_BASE_PSF*(1+RETAIL_ESC_PCT)^N6*RETAIL_GSF/12,0)</f>
        <v/>
      </c>
      <c r="O7" s="12">
        <f>IF(O4=1,RETAIL_BASE_PSF*(1+RETAIL_ESC_PCT)^O6*RETAIL_GSF/12,0)</f>
        <v/>
      </c>
      <c r="P7" s="12">
        <f>IF(P4=1,RETAIL_BASE_PSF*(1+RETAIL_ESC_PCT)^P6*RETAIL_GSF/12,0)</f>
        <v/>
      </c>
      <c r="Q7" s="12">
        <f>IF(Q4=1,RETAIL_BASE_PSF*(1+RETAIL_ESC_PCT)^Q6*RETAIL_GSF/12,0)</f>
        <v/>
      </c>
      <c r="R7" s="12">
        <f>IF(R4=1,RETAIL_BASE_PSF*(1+RETAIL_ESC_PCT)^R6*RETAIL_GSF/12,0)</f>
        <v/>
      </c>
      <c r="S7" s="12">
        <f>IF(S4=1,RETAIL_BASE_PSF*(1+RETAIL_ESC_PCT)^S6*RETAIL_GSF/12,0)</f>
        <v/>
      </c>
      <c r="T7" s="12">
        <f>IF(T4=1,RETAIL_BASE_PSF*(1+RETAIL_ESC_PCT)^T6*RETAIL_GSF/12,0)</f>
        <v/>
      </c>
      <c r="U7" s="12">
        <f>IF(U4=1,RETAIL_BASE_PSF*(1+RETAIL_ESC_PCT)^U6*RETAIL_GSF/12,0)</f>
        <v/>
      </c>
      <c r="V7" s="12">
        <f>IF(V4=1,RETAIL_BASE_PSF*(1+RETAIL_ESC_PCT)^V6*RETAIL_GSF/12,0)</f>
        <v/>
      </c>
      <c r="W7" s="12">
        <f>IF(W4=1,RETAIL_BASE_PSF*(1+RETAIL_ESC_PCT)^W6*RETAIL_GSF/12,0)</f>
        <v/>
      </c>
      <c r="X7" s="12">
        <f>IF(X4=1,RETAIL_BASE_PSF*(1+RETAIL_ESC_PCT)^X6*RETAIL_GSF/12,0)</f>
        <v/>
      </c>
      <c r="Y7" s="12">
        <f>IF(Y4=1,RETAIL_BASE_PSF*(1+RETAIL_ESC_PCT)^Y6*RETAIL_GSF/12,0)</f>
        <v/>
      </c>
      <c r="Z7" s="12">
        <f>IF(Z4=1,RETAIL_BASE_PSF*(1+RETAIL_ESC_PCT)^Z6*RETAIL_GSF/12,0)</f>
        <v/>
      </c>
      <c r="AA7" s="12">
        <f>IF(AA4=1,RETAIL_BASE_PSF*(1+RETAIL_ESC_PCT)^AA6*RETAIL_GSF/12,0)</f>
        <v/>
      </c>
      <c r="AB7" s="12">
        <f>IF(AB4=1,RETAIL_BASE_PSF*(1+RETAIL_ESC_PCT)^AB6*RETAIL_GSF/12,0)</f>
        <v/>
      </c>
      <c r="AC7" s="12">
        <f>IF(AC4=1,RETAIL_BASE_PSF*(1+RETAIL_ESC_PCT)^AC6*RETAIL_GSF/12,0)</f>
        <v/>
      </c>
      <c r="AD7" s="12">
        <f>IF(AD4=1,RETAIL_BASE_PSF*(1+RETAIL_ESC_PCT)^AD6*RETAIL_GSF/12,0)</f>
        <v/>
      </c>
      <c r="AE7" s="12">
        <f>IF(AE4=1,RETAIL_BASE_PSF*(1+RETAIL_ESC_PCT)^AE6*RETAIL_GSF/12,0)</f>
        <v/>
      </c>
      <c r="AF7" s="12">
        <f>IF(AF4=1,RETAIL_BASE_PSF*(1+RETAIL_ESC_PCT)^AF6*RETAIL_GSF/12,0)</f>
        <v/>
      </c>
      <c r="AG7" s="12">
        <f>IF(AG4=1,RETAIL_BASE_PSF*(1+RETAIL_ESC_PCT)^AG6*RETAIL_GSF/12,0)</f>
        <v/>
      </c>
      <c r="AH7" s="12">
        <f>IF(AH4=1,RETAIL_BASE_PSF*(1+RETAIL_ESC_PCT)^AH6*RETAIL_GSF/12,0)</f>
        <v/>
      </c>
      <c r="AI7" s="12">
        <f>IF(AI4=1,RETAIL_BASE_PSF*(1+RETAIL_ESC_PCT)^AI6*RETAIL_GSF/12,0)</f>
        <v/>
      </c>
      <c r="AJ7" s="12">
        <f>IF(AJ4=1,RETAIL_BASE_PSF*(1+RETAIL_ESC_PCT)^AJ6*RETAIL_GSF/12,0)</f>
        <v/>
      </c>
      <c r="AK7" s="12">
        <f>IF(AK4=1,RETAIL_BASE_PSF*(1+RETAIL_ESC_PCT)^AK6*RETAIL_GSF/12,0)</f>
        <v/>
      </c>
      <c r="AL7" s="12">
        <f>IF(AL4=1,RETAIL_BASE_PSF*(1+RETAIL_ESC_PCT)^AL6*RETAIL_GSF/12,0)</f>
        <v/>
      </c>
      <c r="AM7" s="12">
        <f>IF(AM4=1,RETAIL_BASE_PSF*(1+RETAIL_ESC_PCT)^AM6*RETAIL_GSF/12,0)</f>
        <v/>
      </c>
      <c r="AN7" s="12">
        <f>IF(AN4=1,RETAIL_BASE_PSF*(1+RETAIL_ESC_PCT)^AN6*RETAIL_GSF/12,0)</f>
        <v/>
      </c>
      <c r="AO7" s="12">
        <f>IF(AO4=1,RETAIL_BASE_PSF*(1+RETAIL_ESC_PCT)^AO6*RETAIL_GSF/12,0)</f>
        <v/>
      </c>
      <c r="AP7" s="12">
        <f>IF(AP4=1,RETAIL_BASE_PSF*(1+RETAIL_ESC_PCT)^AP6*RETAIL_GSF/12,0)</f>
        <v/>
      </c>
      <c r="AQ7" s="12">
        <f>IF(AQ4=1,RETAIL_BASE_PSF*(1+RETAIL_ESC_PCT)^AQ6*RETAIL_GSF/12,0)</f>
        <v/>
      </c>
      <c r="AR7" s="12">
        <f>IF(AR4=1,RETAIL_BASE_PSF*(1+RETAIL_ESC_PCT)^AR6*RETAIL_GSF/12,0)</f>
        <v/>
      </c>
      <c r="AS7" s="12">
        <f>IF(AS4=1,RETAIL_BASE_PSF*(1+RETAIL_ESC_PCT)^AS6*RETAIL_GSF/12,0)</f>
        <v/>
      </c>
      <c r="AT7" s="12">
        <f>IF(AT4=1,RETAIL_BASE_PSF*(1+RETAIL_ESC_PCT)^AT6*RETAIL_GSF/12,0)</f>
        <v/>
      </c>
      <c r="AU7" s="12">
        <f>IF(AU4=1,RETAIL_BASE_PSF*(1+RETAIL_ESC_PCT)^AU6*RETAIL_GSF/12,0)</f>
        <v/>
      </c>
      <c r="AV7" s="12">
        <f>IF(AV4=1,RETAIL_BASE_PSF*(1+RETAIL_ESC_PCT)^AV6*RETAIL_GSF/12,0)</f>
        <v/>
      </c>
      <c r="AW7" s="12">
        <f>IF(AW4=1,RETAIL_BASE_PSF*(1+RETAIL_ESC_PCT)^AW6*RETAIL_GSF/12,0)</f>
        <v/>
      </c>
      <c r="AX7" s="12">
        <f>IF(AX4=1,RETAIL_BASE_PSF*(1+RETAIL_ESC_PCT)^AX6*RETAIL_GSF/12,0)</f>
        <v/>
      </c>
      <c r="AY7" s="12">
        <f>IF(AY4=1,RETAIL_BASE_PSF*(1+RETAIL_ESC_PCT)^AY6*RETAIL_GSF/12,0)</f>
        <v/>
      </c>
      <c r="AZ7" s="12">
        <f>IF(AZ4=1,RETAIL_BASE_PSF*(1+RETAIL_ESC_PCT)^AZ6*RETAIL_GSF/12,0)</f>
        <v/>
      </c>
      <c r="BA7" s="12">
        <f>IF(BA4=1,RETAIL_BASE_PSF*(1+RETAIL_ESC_PCT)^BA6*RETAIL_GSF/12,0)</f>
        <v/>
      </c>
      <c r="BB7" s="12">
        <f>IF(BB4=1,RETAIL_BASE_PSF*(1+RETAIL_ESC_PCT)^BB6*RETAIL_GSF/12,0)</f>
        <v/>
      </c>
      <c r="BC7" s="12">
        <f>IF(BC4=1,RETAIL_BASE_PSF*(1+RETAIL_ESC_PCT)^BC6*RETAIL_GSF/12,0)</f>
        <v/>
      </c>
      <c r="BD7" s="12">
        <f>IF(BD4=1,RETAIL_BASE_PSF*(1+RETAIL_ESC_PCT)^BD6*RETAIL_GSF/12,0)</f>
        <v/>
      </c>
      <c r="BE7" s="12">
        <f>IF(BE4=1,RETAIL_BASE_PSF*(1+RETAIL_ESC_PCT)^BE6*RETAIL_GSF/12,0)</f>
        <v/>
      </c>
      <c r="BF7" s="12">
        <f>IF(BF4=1,RETAIL_BASE_PSF*(1+RETAIL_ESC_PCT)^BF6*RETAIL_GSF/12,0)</f>
        <v/>
      </c>
      <c r="BG7" s="12">
        <f>IF(BG4=1,RETAIL_BASE_PSF*(1+RETAIL_ESC_PCT)^BG6*RETAIL_GSF/12,0)</f>
        <v/>
      </c>
      <c r="BH7" s="12">
        <f>IF(BH4=1,RETAIL_BASE_PSF*(1+RETAIL_ESC_PCT)^BH6*RETAIL_GSF/12,0)</f>
        <v/>
      </c>
      <c r="BI7" s="12">
        <f>IF(BI4=1,RETAIL_BASE_PSF*(1+RETAIL_ESC_PCT)^BI6*RETAIL_GSF/12,0)</f>
        <v/>
      </c>
      <c r="BJ7" s="12">
        <f>IF(BJ4=1,RETAIL_BASE_PSF*(1+RETAIL_ESC_PCT)^BJ6*RETAIL_GSF/12,0)</f>
        <v/>
      </c>
      <c r="BK7" s="12">
        <f>IF(BK4=1,RETAIL_BASE_PSF*(1+RETAIL_ESC_PCT)^BK6*RETAIL_GSF/12,0)</f>
        <v/>
      </c>
      <c r="BL7" s="12">
        <f>IF(BL4=1,RETAIL_BASE_PSF*(1+RETAIL_ESC_PCT)^BL6*RETAIL_GSF/12,0)</f>
        <v/>
      </c>
      <c r="BM7" s="12">
        <f>IF(BM4=1,RETAIL_BASE_PSF*(1+RETAIL_ESC_PCT)^BM6*RETAIL_GSF/12,0)</f>
        <v/>
      </c>
      <c r="BN7" s="12">
        <f>IF(BN4=1,RETAIL_BASE_PSF*(1+RETAIL_ESC_PCT)^BN6*RETAIL_GSF/12,0)</f>
        <v/>
      </c>
      <c r="BO7" s="12">
        <f>IF(BO4=1,RETAIL_BASE_PSF*(1+RETAIL_ESC_PCT)^BO6*RETAIL_GSF/12,0)</f>
        <v/>
      </c>
      <c r="BP7" s="12">
        <f>IF(BP4=1,RETAIL_BASE_PSF*(1+RETAIL_ESC_PCT)^BP6*RETAIL_GSF/12,0)</f>
        <v/>
      </c>
      <c r="BQ7" s="12">
        <f>IF(BQ4=1,RETAIL_BASE_PSF*(1+RETAIL_ESC_PCT)^BQ6*RETAIL_GSF/12,0)</f>
        <v/>
      </c>
      <c r="BR7" s="12">
        <f>IF(BR4=1,RETAIL_BASE_PSF*(1+RETAIL_ESC_PCT)^BR6*RETAIL_GSF/12,0)</f>
        <v/>
      </c>
      <c r="BS7" s="12">
        <f>IF(BS4=1,RETAIL_BASE_PSF*(1+RETAIL_ESC_PCT)^BS6*RETAIL_GSF/12,0)</f>
        <v/>
      </c>
      <c r="BT7" s="12">
        <f>IF(BT4=1,RETAIL_BASE_PSF*(1+RETAIL_ESC_PCT)^BT6*RETAIL_GSF/12,0)</f>
        <v/>
      </c>
      <c r="BU7" s="12">
        <f>IF(BU4=1,RETAIL_BASE_PSF*(1+RETAIL_ESC_PCT)^BU6*RETAIL_GSF/12,0)</f>
        <v/>
      </c>
      <c r="BV7" s="12">
        <f>IF(BV4=1,RETAIL_BASE_PSF*(1+RETAIL_ESC_PCT)^BV6*RETAIL_GSF/12,0)</f>
        <v/>
      </c>
      <c r="BW7" s="12">
        <f>IF(BW4=1,RETAIL_BASE_PSF*(1+RETAIL_ESC_PCT)^BW6*RETAIL_GSF/12,0)</f>
        <v/>
      </c>
      <c r="BX7" s="12">
        <f>IF(BX4=1,RETAIL_BASE_PSF*(1+RETAIL_ESC_PCT)^BX6*RETAIL_GSF/12,0)</f>
        <v/>
      </c>
      <c r="BY7" s="12">
        <f>IF(BY4=1,RETAIL_BASE_PSF*(1+RETAIL_ESC_PCT)^BY6*RETAIL_GSF/12,0)</f>
        <v/>
      </c>
      <c r="BZ7" s="12">
        <f>IF(BZ4=1,RETAIL_BASE_PSF*(1+RETAIL_ESC_PCT)^BZ6*RETAIL_GSF/12,0)</f>
        <v/>
      </c>
      <c r="CA7" s="12">
        <f>IF(CA4=1,RETAIL_BASE_PSF*(1+RETAIL_ESC_PCT)^CA6*RETAIL_GSF/12,0)</f>
        <v/>
      </c>
      <c r="CB7" s="12">
        <f>IF(CB4=1,RETAIL_BASE_PSF*(1+RETAIL_ESC_PCT)^CB6*RETAIL_GSF/12,0)</f>
        <v/>
      </c>
      <c r="CC7" s="12">
        <f>IF(CC4=1,RETAIL_BASE_PSF*(1+RETAIL_ESC_PCT)^CC6*RETAIL_GSF/12,0)</f>
        <v/>
      </c>
      <c r="CD7" s="12">
        <f>IF(CD4=1,RETAIL_BASE_PSF*(1+RETAIL_ESC_PCT)^CD6*RETAIL_GSF/12,0)</f>
        <v/>
      </c>
      <c r="CE7" s="12">
        <f>IF(CE4=1,RETAIL_BASE_PSF*(1+RETAIL_ESC_PCT)^CE6*RETAIL_GSF/12,0)</f>
        <v/>
      </c>
      <c r="CF7" s="12">
        <f>IF(CF4=1,RETAIL_BASE_PSF*(1+RETAIL_ESC_PCT)^CF6*RETAIL_GSF/12,0)</f>
        <v/>
      </c>
      <c r="CG7" s="12">
        <f>IF(CG4=1,RETAIL_BASE_PSF*(1+RETAIL_ESC_PCT)^CG6*RETAIL_GSF/12,0)</f>
        <v/>
      </c>
      <c r="CH7" s="12">
        <f>IF(CH4=1,RETAIL_BASE_PSF*(1+RETAIL_ESC_PCT)^CH6*RETAIL_GSF/12,0)</f>
        <v/>
      </c>
    </row>
    <row r="8">
      <c r="A8" s="3" t="inlineStr">
        <is>
          <t>Recovery income</t>
        </is>
      </c>
      <c r="B8" s="4" t="inlineStr">
        <is>
          <t>$</t>
        </is>
      </c>
      <c r="C8" s="12">
        <f>IF(C4=1,RETAIL_RECOV_PSF*(1+RETAIL_ESC_PCT)^C6*RETAIL_GSF*RETAIL_RECOV_RATIO/12,0)</f>
        <v/>
      </c>
      <c r="D8" s="12">
        <f>IF(D4=1,RETAIL_RECOV_PSF*(1+RETAIL_ESC_PCT)^D6*RETAIL_GSF*RETAIL_RECOV_RATIO/12,0)</f>
        <v/>
      </c>
      <c r="E8" s="12">
        <f>IF(E4=1,RETAIL_RECOV_PSF*(1+RETAIL_ESC_PCT)^E6*RETAIL_GSF*RETAIL_RECOV_RATIO/12,0)</f>
        <v/>
      </c>
      <c r="F8" s="12">
        <f>IF(F4=1,RETAIL_RECOV_PSF*(1+RETAIL_ESC_PCT)^F6*RETAIL_GSF*RETAIL_RECOV_RATIO/12,0)</f>
        <v/>
      </c>
      <c r="G8" s="12">
        <f>IF(G4=1,RETAIL_RECOV_PSF*(1+RETAIL_ESC_PCT)^G6*RETAIL_GSF*RETAIL_RECOV_RATIO/12,0)</f>
        <v/>
      </c>
      <c r="H8" s="12">
        <f>IF(H4=1,RETAIL_RECOV_PSF*(1+RETAIL_ESC_PCT)^H6*RETAIL_GSF*RETAIL_RECOV_RATIO/12,0)</f>
        <v/>
      </c>
      <c r="I8" s="12">
        <f>IF(I4=1,RETAIL_RECOV_PSF*(1+RETAIL_ESC_PCT)^I6*RETAIL_GSF*RETAIL_RECOV_RATIO/12,0)</f>
        <v/>
      </c>
      <c r="J8" s="12">
        <f>IF(J4=1,RETAIL_RECOV_PSF*(1+RETAIL_ESC_PCT)^J6*RETAIL_GSF*RETAIL_RECOV_RATIO/12,0)</f>
        <v/>
      </c>
      <c r="K8" s="12">
        <f>IF(K4=1,RETAIL_RECOV_PSF*(1+RETAIL_ESC_PCT)^K6*RETAIL_GSF*RETAIL_RECOV_RATIO/12,0)</f>
        <v/>
      </c>
      <c r="L8" s="12">
        <f>IF(L4=1,RETAIL_RECOV_PSF*(1+RETAIL_ESC_PCT)^L6*RETAIL_GSF*RETAIL_RECOV_RATIO/12,0)</f>
        <v/>
      </c>
      <c r="M8" s="12">
        <f>IF(M4=1,RETAIL_RECOV_PSF*(1+RETAIL_ESC_PCT)^M6*RETAIL_GSF*RETAIL_RECOV_RATIO/12,0)</f>
        <v/>
      </c>
      <c r="N8" s="12">
        <f>IF(N4=1,RETAIL_RECOV_PSF*(1+RETAIL_ESC_PCT)^N6*RETAIL_GSF*RETAIL_RECOV_RATIO/12,0)</f>
        <v/>
      </c>
      <c r="O8" s="12">
        <f>IF(O4=1,RETAIL_RECOV_PSF*(1+RETAIL_ESC_PCT)^O6*RETAIL_GSF*RETAIL_RECOV_RATIO/12,0)</f>
        <v/>
      </c>
      <c r="P8" s="12">
        <f>IF(P4=1,RETAIL_RECOV_PSF*(1+RETAIL_ESC_PCT)^P6*RETAIL_GSF*RETAIL_RECOV_RATIO/12,0)</f>
        <v/>
      </c>
      <c r="Q8" s="12">
        <f>IF(Q4=1,RETAIL_RECOV_PSF*(1+RETAIL_ESC_PCT)^Q6*RETAIL_GSF*RETAIL_RECOV_RATIO/12,0)</f>
        <v/>
      </c>
      <c r="R8" s="12">
        <f>IF(R4=1,RETAIL_RECOV_PSF*(1+RETAIL_ESC_PCT)^R6*RETAIL_GSF*RETAIL_RECOV_RATIO/12,0)</f>
        <v/>
      </c>
      <c r="S8" s="12">
        <f>IF(S4=1,RETAIL_RECOV_PSF*(1+RETAIL_ESC_PCT)^S6*RETAIL_GSF*RETAIL_RECOV_RATIO/12,0)</f>
        <v/>
      </c>
      <c r="T8" s="12">
        <f>IF(T4=1,RETAIL_RECOV_PSF*(1+RETAIL_ESC_PCT)^T6*RETAIL_GSF*RETAIL_RECOV_RATIO/12,0)</f>
        <v/>
      </c>
      <c r="U8" s="12">
        <f>IF(U4=1,RETAIL_RECOV_PSF*(1+RETAIL_ESC_PCT)^U6*RETAIL_GSF*RETAIL_RECOV_RATIO/12,0)</f>
        <v/>
      </c>
      <c r="V8" s="12">
        <f>IF(V4=1,RETAIL_RECOV_PSF*(1+RETAIL_ESC_PCT)^V6*RETAIL_GSF*RETAIL_RECOV_RATIO/12,0)</f>
        <v/>
      </c>
      <c r="W8" s="12">
        <f>IF(W4=1,RETAIL_RECOV_PSF*(1+RETAIL_ESC_PCT)^W6*RETAIL_GSF*RETAIL_RECOV_RATIO/12,0)</f>
        <v/>
      </c>
      <c r="X8" s="12">
        <f>IF(X4=1,RETAIL_RECOV_PSF*(1+RETAIL_ESC_PCT)^X6*RETAIL_GSF*RETAIL_RECOV_RATIO/12,0)</f>
        <v/>
      </c>
      <c r="Y8" s="12">
        <f>IF(Y4=1,RETAIL_RECOV_PSF*(1+RETAIL_ESC_PCT)^Y6*RETAIL_GSF*RETAIL_RECOV_RATIO/12,0)</f>
        <v/>
      </c>
      <c r="Z8" s="12">
        <f>IF(Z4=1,RETAIL_RECOV_PSF*(1+RETAIL_ESC_PCT)^Z6*RETAIL_GSF*RETAIL_RECOV_RATIO/12,0)</f>
        <v/>
      </c>
      <c r="AA8" s="12">
        <f>IF(AA4=1,RETAIL_RECOV_PSF*(1+RETAIL_ESC_PCT)^AA6*RETAIL_GSF*RETAIL_RECOV_RATIO/12,0)</f>
        <v/>
      </c>
      <c r="AB8" s="12">
        <f>IF(AB4=1,RETAIL_RECOV_PSF*(1+RETAIL_ESC_PCT)^AB6*RETAIL_GSF*RETAIL_RECOV_RATIO/12,0)</f>
        <v/>
      </c>
      <c r="AC8" s="12">
        <f>IF(AC4=1,RETAIL_RECOV_PSF*(1+RETAIL_ESC_PCT)^AC6*RETAIL_GSF*RETAIL_RECOV_RATIO/12,0)</f>
        <v/>
      </c>
      <c r="AD8" s="12">
        <f>IF(AD4=1,RETAIL_RECOV_PSF*(1+RETAIL_ESC_PCT)^AD6*RETAIL_GSF*RETAIL_RECOV_RATIO/12,0)</f>
        <v/>
      </c>
      <c r="AE8" s="12">
        <f>IF(AE4=1,RETAIL_RECOV_PSF*(1+RETAIL_ESC_PCT)^AE6*RETAIL_GSF*RETAIL_RECOV_RATIO/12,0)</f>
        <v/>
      </c>
      <c r="AF8" s="12">
        <f>IF(AF4=1,RETAIL_RECOV_PSF*(1+RETAIL_ESC_PCT)^AF6*RETAIL_GSF*RETAIL_RECOV_RATIO/12,0)</f>
        <v/>
      </c>
      <c r="AG8" s="12">
        <f>IF(AG4=1,RETAIL_RECOV_PSF*(1+RETAIL_ESC_PCT)^AG6*RETAIL_GSF*RETAIL_RECOV_RATIO/12,0)</f>
        <v/>
      </c>
      <c r="AH8" s="12">
        <f>IF(AH4=1,RETAIL_RECOV_PSF*(1+RETAIL_ESC_PCT)^AH6*RETAIL_GSF*RETAIL_RECOV_RATIO/12,0)</f>
        <v/>
      </c>
      <c r="AI8" s="12">
        <f>IF(AI4=1,RETAIL_RECOV_PSF*(1+RETAIL_ESC_PCT)^AI6*RETAIL_GSF*RETAIL_RECOV_RATIO/12,0)</f>
        <v/>
      </c>
      <c r="AJ8" s="12">
        <f>IF(AJ4=1,RETAIL_RECOV_PSF*(1+RETAIL_ESC_PCT)^AJ6*RETAIL_GSF*RETAIL_RECOV_RATIO/12,0)</f>
        <v/>
      </c>
      <c r="AK8" s="12">
        <f>IF(AK4=1,RETAIL_RECOV_PSF*(1+RETAIL_ESC_PCT)^AK6*RETAIL_GSF*RETAIL_RECOV_RATIO/12,0)</f>
        <v/>
      </c>
      <c r="AL8" s="12">
        <f>IF(AL4=1,RETAIL_RECOV_PSF*(1+RETAIL_ESC_PCT)^AL6*RETAIL_GSF*RETAIL_RECOV_RATIO/12,0)</f>
        <v/>
      </c>
      <c r="AM8" s="12">
        <f>IF(AM4=1,RETAIL_RECOV_PSF*(1+RETAIL_ESC_PCT)^AM6*RETAIL_GSF*RETAIL_RECOV_RATIO/12,0)</f>
        <v/>
      </c>
      <c r="AN8" s="12">
        <f>IF(AN4=1,RETAIL_RECOV_PSF*(1+RETAIL_ESC_PCT)^AN6*RETAIL_GSF*RETAIL_RECOV_RATIO/12,0)</f>
        <v/>
      </c>
      <c r="AO8" s="12">
        <f>IF(AO4=1,RETAIL_RECOV_PSF*(1+RETAIL_ESC_PCT)^AO6*RETAIL_GSF*RETAIL_RECOV_RATIO/12,0)</f>
        <v/>
      </c>
      <c r="AP8" s="12">
        <f>IF(AP4=1,RETAIL_RECOV_PSF*(1+RETAIL_ESC_PCT)^AP6*RETAIL_GSF*RETAIL_RECOV_RATIO/12,0)</f>
        <v/>
      </c>
      <c r="AQ8" s="12">
        <f>IF(AQ4=1,RETAIL_RECOV_PSF*(1+RETAIL_ESC_PCT)^AQ6*RETAIL_GSF*RETAIL_RECOV_RATIO/12,0)</f>
        <v/>
      </c>
      <c r="AR8" s="12">
        <f>IF(AR4=1,RETAIL_RECOV_PSF*(1+RETAIL_ESC_PCT)^AR6*RETAIL_GSF*RETAIL_RECOV_RATIO/12,0)</f>
        <v/>
      </c>
      <c r="AS8" s="12">
        <f>IF(AS4=1,RETAIL_RECOV_PSF*(1+RETAIL_ESC_PCT)^AS6*RETAIL_GSF*RETAIL_RECOV_RATIO/12,0)</f>
        <v/>
      </c>
      <c r="AT8" s="12">
        <f>IF(AT4=1,RETAIL_RECOV_PSF*(1+RETAIL_ESC_PCT)^AT6*RETAIL_GSF*RETAIL_RECOV_RATIO/12,0)</f>
        <v/>
      </c>
      <c r="AU8" s="12">
        <f>IF(AU4=1,RETAIL_RECOV_PSF*(1+RETAIL_ESC_PCT)^AU6*RETAIL_GSF*RETAIL_RECOV_RATIO/12,0)</f>
        <v/>
      </c>
      <c r="AV8" s="12">
        <f>IF(AV4=1,RETAIL_RECOV_PSF*(1+RETAIL_ESC_PCT)^AV6*RETAIL_GSF*RETAIL_RECOV_RATIO/12,0)</f>
        <v/>
      </c>
      <c r="AW8" s="12">
        <f>IF(AW4=1,RETAIL_RECOV_PSF*(1+RETAIL_ESC_PCT)^AW6*RETAIL_GSF*RETAIL_RECOV_RATIO/12,0)</f>
        <v/>
      </c>
      <c r="AX8" s="12">
        <f>IF(AX4=1,RETAIL_RECOV_PSF*(1+RETAIL_ESC_PCT)^AX6*RETAIL_GSF*RETAIL_RECOV_RATIO/12,0)</f>
        <v/>
      </c>
      <c r="AY8" s="12">
        <f>IF(AY4=1,RETAIL_RECOV_PSF*(1+RETAIL_ESC_PCT)^AY6*RETAIL_GSF*RETAIL_RECOV_RATIO/12,0)</f>
        <v/>
      </c>
      <c r="AZ8" s="12">
        <f>IF(AZ4=1,RETAIL_RECOV_PSF*(1+RETAIL_ESC_PCT)^AZ6*RETAIL_GSF*RETAIL_RECOV_RATIO/12,0)</f>
        <v/>
      </c>
      <c r="BA8" s="12">
        <f>IF(BA4=1,RETAIL_RECOV_PSF*(1+RETAIL_ESC_PCT)^BA6*RETAIL_GSF*RETAIL_RECOV_RATIO/12,0)</f>
        <v/>
      </c>
      <c r="BB8" s="12">
        <f>IF(BB4=1,RETAIL_RECOV_PSF*(1+RETAIL_ESC_PCT)^BB6*RETAIL_GSF*RETAIL_RECOV_RATIO/12,0)</f>
        <v/>
      </c>
      <c r="BC8" s="12">
        <f>IF(BC4=1,RETAIL_RECOV_PSF*(1+RETAIL_ESC_PCT)^BC6*RETAIL_GSF*RETAIL_RECOV_RATIO/12,0)</f>
        <v/>
      </c>
      <c r="BD8" s="12">
        <f>IF(BD4=1,RETAIL_RECOV_PSF*(1+RETAIL_ESC_PCT)^BD6*RETAIL_GSF*RETAIL_RECOV_RATIO/12,0)</f>
        <v/>
      </c>
      <c r="BE8" s="12">
        <f>IF(BE4=1,RETAIL_RECOV_PSF*(1+RETAIL_ESC_PCT)^BE6*RETAIL_GSF*RETAIL_RECOV_RATIO/12,0)</f>
        <v/>
      </c>
      <c r="BF8" s="12">
        <f>IF(BF4=1,RETAIL_RECOV_PSF*(1+RETAIL_ESC_PCT)^BF6*RETAIL_GSF*RETAIL_RECOV_RATIO/12,0)</f>
        <v/>
      </c>
      <c r="BG8" s="12">
        <f>IF(BG4=1,RETAIL_RECOV_PSF*(1+RETAIL_ESC_PCT)^BG6*RETAIL_GSF*RETAIL_RECOV_RATIO/12,0)</f>
        <v/>
      </c>
      <c r="BH8" s="12">
        <f>IF(BH4=1,RETAIL_RECOV_PSF*(1+RETAIL_ESC_PCT)^BH6*RETAIL_GSF*RETAIL_RECOV_RATIO/12,0)</f>
        <v/>
      </c>
      <c r="BI8" s="12">
        <f>IF(BI4=1,RETAIL_RECOV_PSF*(1+RETAIL_ESC_PCT)^BI6*RETAIL_GSF*RETAIL_RECOV_RATIO/12,0)</f>
        <v/>
      </c>
      <c r="BJ8" s="12">
        <f>IF(BJ4=1,RETAIL_RECOV_PSF*(1+RETAIL_ESC_PCT)^BJ6*RETAIL_GSF*RETAIL_RECOV_RATIO/12,0)</f>
        <v/>
      </c>
      <c r="BK8" s="12">
        <f>IF(BK4=1,RETAIL_RECOV_PSF*(1+RETAIL_ESC_PCT)^BK6*RETAIL_GSF*RETAIL_RECOV_RATIO/12,0)</f>
        <v/>
      </c>
      <c r="BL8" s="12">
        <f>IF(BL4=1,RETAIL_RECOV_PSF*(1+RETAIL_ESC_PCT)^BL6*RETAIL_GSF*RETAIL_RECOV_RATIO/12,0)</f>
        <v/>
      </c>
      <c r="BM8" s="12">
        <f>IF(BM4=1,RETAIL_RECOV_PSF*(1+RETAIL_ESC_PCT)^BM6*RETAIL_GSF*RETAIL_RECOV_RATIO/12,0)</f>
        <v/>
      </c>
      <c r="BN8" s="12">
        <f>IF(BN4=1,RETAIL_RECOV_PSF*(1+RETAIL_ESC_PCT)^BN6*RETAIL_GSF*RETAIL_RECOV_RATIO/12,0)</f>
        <v/>
      </c>
      <c r="BO8" s="12">
        <f>IF(BO4=1,RETAIL_RECOV_PSF*(1+RETAIL_ESC_PCT)^BO6*RETAIL_GSF*RETAIL_RECOV_RATIO/12,0)</f>
        <v/>
      </c>
      <c r="BP8" s="12">
        <f>IF(BP4=1,RETAIL_RECOV_PSF*(1+RETAIL_ESC_PCT)^BP6*RETAIL_GSF*RETAIL_RECOV_RATIO/12,0)</f>
        <v/>
      </c>
      <c r="BQ8" s="12">
        <f>IF(BQ4=1,RETAIL_RECOV_PSF*(1+RETAIL_ESC_PCT)^BQ6*RETAIL_GSF*RETAIL_RECOV_RATIO/12,0)</f>
        <v/>
      </c>
      <c r="BR8" s="12">
        <f>IF(BR4=1,RETAIL_RECOV_PSF*(1+RETAIL_ESC_PCT)^BR6*RETAIL_GSF*RETAIL_RECOV_RATIO/12,0)</f>
        <v/>
      </c>
      <c r="BS8" s="12">
        <f>IF(BS4=1,RETAIL_RECOV_PSF*(1+RETAIL_ESC_PCT)^BS6*RETAIL_GSF*RETAIL_RECOV_RATIO/12,0)</f>
        <v/>
      </c>
      <c r="BT8" s="12">
        <f>IF(BT4=1,RETAIL_RECOV_PSF*(1+RETAIL_ESC_PCT)^BT6*RETAIL_GSF*RETAIL_RECOV_RATIO/12,0)</f>
        <v/>
      </c>
      <c r="BU8" s="12">
        <f>IF(BU4=1,RETAIL_RECOV_PSF*(1+RETAIL_ESC_PCT)^BU6*RETAIL_GSF*RETAIL_RECOV_RATIO/12,0)</f>
        <v/>
      </c>
      <c r="BV8" s="12">
        <f>IF(BV4=1,RETAIL_RECOV_PSF*(1+RETAIL_ESC_PCT)^BV6*RETAIL_GSF*RETAIL_RECOV_RATIO/12,0)</f>
        <v/>
      </c>
      <c r="BW8" s="12">
        <f>IF(BW4=1,RETAIL_RECOV_PSF*(1+RETAIL_ESC_PCT)^BW6*RETAIL_GSF*RETAIL_RECOV_RATIO/12,0)</f>
        <v/>
      </c>
      <c r="BX8" s="12">
        <f>IF(BX4=1,RETAIL_RECOV_PSF*(1+RETAIL_ESC_PCT)^BX6*RETAIL_GSF*RETAIL_RECOV_RATIO/12,0)</f>
        <v/>
      </c>
      <c r="BY8" s="12">
        <f>IF(BY4=1,RETAIL_RECOV_PSF*(1+RETAIL_ESC_PCT)^BY6*RETAIL_GSF*RETAIL_RECOV_RATIO/12,0)</f>
        <v/>
      </c>
      <c r="BZ8" s="12">
        <f>IF(BZ4=1,RETAIL_RECOV_PSF*(1+RETAIL_ESC_PCT)^BZ6*RETAIL_GSF*RETAIL_RECOV_RATIO/12,0)</f>
        <v/>
      </c>
      <c r="CA8" s="12">
        <f>IF(CA4=1,RETAIL_RECOV_PSF*(1+RETAIL_ESC_PCT)^CA6*RETAIL_GSF*RETAIL_RECOV_RATIO/12,0)</f>
        <v/>
      </c>
      <c r="CB8" s="12">
        <f>IF(CB4=1,RETAIL_RECOV_PSF*(1+RETAIL_ESC_PCT)^CB6*RETAIL_GSF*RETAIL_RECOV_RATIO/12,0)</f>
        <v/>
      </c>
      <c r="CC8" s="12">
        <f>IF(CC4=1,RETAIL_RECOV_PSF*(1+RETAIL_ESC_PCT)^CC6*RETAIL_GSF*RETAIL_RECOV_RATIO/12,0)</f>
        <v/>
      </c>
      <c r="CD8" s="12">
        <f>IF(CD4=1,RETAIL_RECOV_PSF*(1+RETAIL_ESC_PCT)^CD6*RETAIL_GSF*RETAIL_RECOV_RATIO/12,0)</f>
        <v/>
      </c>
      <c r="CE8" s="12">
        <f>IF(CE4=1,RETAIL_RECOV_PSF*(1+RETAIL_ESC_PCT)^CE6*RETAIL_GSF*RETAIL_RECOV_RATIO/12,0)</f>
        <v/>
      </c>
      <c r="CF8" s="12">
        <f>IF(CF4=1,RETAIL_RECOV_PSF*(1+RETAIL_ESC_PCT)^CF6*RETAIL_GSF*RETAIL_RECOV_RATIO/12,0)</f>
        <v/>
      </c>
      <c r="CG8" s="12">
        <f>IF(CG4=1,RETAIL_RECOV_PSF*(1+RETAIL_ESC_PCT)^CG6*RETAIL_GSF*RETAIL_RECOV_RATIO/12,0)</f>
        <v/>
      </c>
      <c r="CH8" s="12">
        <f>IF(CH4=1,RETAIL_RECOV_PSF*(1+RETAIL_ESC_PCT)^CH6*RETAIL_GSF*RETAIL_RECOV_RATIO/12,0)</f>
        <v/>
      </c>
    </row>
    <row r="9">
      <c r="A9" s="3" t="inlineStr">
        <is>
          <t>EGI</t>
        </is>
      </c>
      <c r="B9" s="4" t="inlineStr">
        <is>
          <t>$</t>
        </is>
      </c>
      <c r="C9" s="12">
        <f>IF(C4=1,(C7+C8)*(1-RETAIL_VAC_PCT),0)</f>
        <v/>
      </c>
      <c r="D9" s="12">
        <f>IF(D4=1,(D7+D8)*(1-RETAIL_VAC_PCT),0)</f>
        <v/>
      </c>
      <c r="E9" s="12">
        <f>IF(E4=1,(E7+E8)*(1-RETAIL_VAC_PCT),0)</f>
        <v/>
      </c>
      <c r="F9" s="12">
        <f>IF(F4=1,(F7+F8)*(1-RETAIL_VAC_PCT),0)</f>
        <v/>
      </c>
      <c r="G9" s="12">
        <f>IF(G4=1,(G7+G8)*(1-RETAIL_VAC_PCT),0)</f>
        <v/>
      </c>
      <c r="H9" s="12">
        <f>IF(H4=1,(H7+H8)*(1-RETAIL_VAC_PCT),0)</f>
        <v/>
      </c>
      <c r="I9" s="12">
        <f>IF(I4=1,(I7+I8)*(1-RETAIL_VAC_PCT),0)</f>
        <v/>
      </c>
      <c r="J9" s="12">
        <f>IF(J4=1,(J7+J8)*(1-RETAIL_VAC_PCT),0)</f>
        <v/>
      </c>
      <c r="K9" s="12">
        <f>IF(K4=1,(K7+K8)*(1-RETAIL_VAC_PCT),0)</f>
        <v/>
      </c>
      <c r="L9" s="12">
        <f>IF(L4=1,(L7+L8)*(1-RETAIL_VAC_PCT),0)</f>
        <v/>
      </c>
      <c r="M9" s="12">
        <f>IF(M4=1,(M7+M8)*(1-RETAIL_VAC_PCT),0)</f>
        <v/>
      </c>
      <c r="N9" s="12">
        <f>IF(N4=1,(N7+N8)*(1-RETAIL_VAC_PCT),0)</f>
        <v/>
      </c>
      <c r="O9" s="12">
        <f>IF(O4=1,(O7+O8)*(1-RETAIL_VAC_PCT),0)</f>
        <v/>
      </c>
      <c r="P9" s="12">
        <f>IF(P4=1,(P7+P8)*(1-RETAIL_VAC_PCT),0)</f>
        <v/>
      </c>
      <c r="Q9" s="12">
        <f>IF(Q4=1,(Q7+Q8)*(1-RETAIL_VAC_PCT),0)</f>
        <v/>
      </c>
      <c r="R9" s="12">
        <f>IF(R4=1,(R7+R8)*(1-RETAIL_VAC_PCT),0)</f>
        <v/>
      </c>
      <c r="S9" s="12">
        <f>IF(S4=1,(S7+S8)*(1-RETAIL_VAC_PCT),0)</f>
        <v/>
      </c>
      <c r="T9" s="12">
        <f>IF(T4=1,(T7+T8)*(1-RETAIL_VAC_PCT),0)</f>
        <v/>
      </c>
      <c r="U9" s="12">
        <f>IF(U4=1,(U7+U8)*(1-RETAIL_VAC_PCT),0)</f>
        <v/>
      </c>
      <c r="V9" s="12">
        <f>IF(V4=1,(V7+V8)*(1-RETAIL_VAC_PCT),0)</f>
        <v/>
      </c>
      <c r="W9" s="12">
        <f>IF(W4=1,(W7+W8)*(1-RETAIL_VAC_PCT),0)</f>
        <v/>
      </c>
      <c r="X9" s="12">
        <f>IF(X4=1,(X7+X8)*(1-RETAIL_VAC_PCT),0)</f>
        <v/>
      </c>
      <c r="Y9" s="12">
        <f>IF(Y4=1,(Y7+Y8)*(1-RETAIL_VAC_PCT),0)</f>
        <v/>
      </c>
      <c r="Z9" s="12">
        <f>IF(Z4=1,(Z7+Z8)*(1-RETAIL_VAC_PCT),0)</f>
        <v/>
      </c>
      <c r="AA9" s="12">
        <f>IF(AA4=1,(AA7+AA8)*(1-RETAIL_VAC_PCT),0)</f>
        <v/>
      </c>
      <c r="AB9" s="12">
        <f>IF(AB4=1,(AB7+AB8)*(1-RETAIL_VAC_PCT),0)</f>
        <v/>
      </c>
      <c r="AC9" s="12">
        <f>IF(AC4=1,(AC7+AC8)*(1-RETAIL_VAC_PCT),0)</f>
        <v/>
      </c>
      <c r="AD9" s="12">
        <f>IF(AD4=1,(AD7+AD8)*(1-RETAIL_VAC_PCT),0)</f>
        <v/>
      </c>
      <c r="AE9" s="12">
        <f>IF(AE4=1,(AE7+AE8)*(1-RETAIL_VAC_PCT),0)</f>
        <v/>
      </c>
      <c r="AF9" s="12">
        <f>IF(AF4=1,(AF7+AF8)*(1-RETAIL_VAC_PCT),0)</f>
        <v/>
      </c>
      <c r="AG9" s="12">
        <f>IF(AG4=1,(AG7+AG8)*(1-RETAIL_VAC_PCT),0)</f>
        <v/>
      </c>
      <c r="AH9" s="12">
        <f>IF(AH4=1,(AH7+AH8)*(1-RETAIL_VAC_PCT),0)</f>
        <v/>
      </c>
      <c r="AI9" s="12">
        <f>IF(AI4=1,(AI7+AI8)*(1-RETAIL_VAC_PCT),0)</f>
        <v/>
      </c>
      <c r="AJ9" s="12">
        <f>IF(AJ4=1,(AJ7+AJ8)*(1-RETAIL_VAC_PCT),0)</f>
        <v/>
      </c>
      <c r="AK9" s="12">
        <f>IF(AK4=1,(AK7+AK8)*(1-RETAIL_VAC_PCT),0)</f>
        <v/>
      </c>
      <c r="AL9" s="12">
        <f>IF(AL4=1,(AL7+AL8)*(1-RETAIL_VAC_PCT),0)</f>
        <v/>
      </c>
      <c r="AM9" s="12">
        <f>IF(AM4=1,(AM7+AM8)*(1-RETAIL_VAC_PCT),0)</f>
        <v/>
      </c>
      <c r="AN9" s="12">
        <f>IF(AN4=1,(AN7+AN8)*(1-RETAIL_VAC_PCT),0)</f>
        <v/>
      </c>
      <c r="AO9" s="12">
        <f>IF(AO4=1,(AO7+AO8)*(1-RETAIL_VAC_PCT),0)</f>
        <v/>
      </c>
      <c r="AP9" s="12">
        <f>IF(AP4=1,(AP7+AP8)*(1-RETAIL_VAC_PCT),0)</f>
        <v/>
      </c>
      <c r="AQ9" s="12">
        <f>IF(AQ4=1,(AQ7+AQ8)*(1-RETAIL_VAC_PCT),0)</f>
        <v/>
      </c>
      <c r="AR9" s="12">
        <f>IF(AR4=1,(AR7+AR8)*(1-RETAIL_VAC_PCT),0)</f>
        <v/>
      </c>
      <c r="AS9" s="12">
        <f>IF(AS4=1,(AS7+AS8)*(1-RETAIL_VAC_PCT),0)</f>
        <v/>
      </c>
      <c r="AT9" s="12">
        <f>IF(AT4=1,(AT7+AT8)*(1-RETAIL_VAC_PCT),0)</f>
        <v/>
      </c>
      <c r="AU9" s="12">
        <f>IF(AU4=1,(AU7+AU8)*(1-RETAIL_VAC_PCT),0)</f>
        <v/>
      </c>
      <c r="AV9" s="12">
        <f>IF(AV4=1,(AV7+AV8)*(1-RETAIL_VAC_PCT),0)</f>
        <v/>
      </c>
      <c r="AW9" s="12">
        <f>IF(AW4=1,(AW7+AW8)*(1-RETAIL_VAC_PCT),0)</f>
        <v/>
      </c>
      <c r="AX9" s="12">
        <f>IF(AX4=1,(AX7+AX8)*(1-RETAIL_VAC_PCT),0)</f>
        <v/>
      </c>
      <c r="AY9" s="12">
        <f>IF(AY4=1,(AY7+AY8)*(1-RETAIL_VAC_PCT),0)</f>
        <v/>
      </c>
      <c r="AZ9" s="12">
        <f>IF(AZ4=1,(AZ7+AZ8)*(1-RETAIL_VAC_PCT),0)</f>
        <v/>
      </c>
      <c r="BA9" s="12">
        <f>IF(BA4=1,(BA7+BA8)*(1-RETAIL_VAC_PCT),0)</f>
        <v/>
      </c>
      <c r="BB9" s="12">
        <f>IF(BB4=1,(BB7+BB8)*(1-RETAIL_VAC_PCT),0)</f>
        <v/>
      </c>
      <c r="BC9" s="12">
        <f>IF(BC4=1,(BC7+BC8)*(1-RETAIL_VAC_PCT),0)</f>
        <v/>
      </c>
      <c r="BD9" s="12">
        <f>IF(BD4=1,(BD7+BD8)*(1-RETAIL_VAC_PCT),0)</f>
        <v/>
      </c>
      <c r="BE9" s="12">
        <f>IF(BE4=1,(BE7+BE8)*(1-RETAIL_VAC_PCT),0)</f>
        <v/>
      </c>
      <c r="BF9" s="12">
        <f>IF(BF4=1,(BF7+BF8)*(1-RETAIL_VAC_PCT),0)</f>
        <v/>
      </c>
      <c r="BG9" s="12">
        <f>IF(BG4=1,(BG7+BG8)*(1-RETAIL_VAC_PCT),0)</f>
        <v/>
      </c>
      <c r="BH9" s="12">
        <f>IF(BH4=1,(BH7+BH8)*(1-RETAIL_VAC_PCT),0)</f>
        <v/>
      </c>
      <c r="BI9" s="12">
        <f>IF(BI4=1,(BI7+BI8)*(1-RETAIL_VAC_PCT),0)</f>
        <v/>
      </c>
      <c r="BJ9" s="12">
        <f>IF(BJ4=1,(BJ7+BJ8)*(1-RETAIL_VAC_PCT),0)</f>
        <v/>
      </c>
      <c r="BK9" s="12">
        <f>IF(BK4=1,(BK7+BK8)*(1-RETAIL_VAC_PCT),0)</f>
        <v/>
      </c>
      <c r="BL9" s="12">
        <f>IF(BL4=1,(BL7+BL8)*(1-RETAIL_VAC_PCT),0)</f>
        <v/>
      </c>
      <c r="BM9" s="12">
        <f>IF(BM4=1,(BM7+BM8)*(1-RETAIL_VAC_PCT),0)</f>
        <v/>
      </c>
      <c r="BN9" s="12">
        <f>IF(BN4=1,(BN7+BN8)*(1-RETAIL_VAC_PCT),0)</f>
        <v/>
      </c>
      <c r="BO9" s="12">
        <f>IF(BO4=1,(BO7+BO8)*(1-RETAIL_VAC_PCT),0)</f>
        <v/>
      </c>
      <c r="BP9" s="12">
        <f>IF(BP4=1,(BP7+BP8)*(1-RETAIL_VAC_PCT),0)</f>
        <v/>
      </c>
      <c r="BQ9" s="12">
        <f>IF(BQ4=1,(BQ7+BQ8)*(1-RETAIL_VAC_PCT),0)</f>
        <v/>
      </c>
      <c r="BR9" s="12">
        <f>IF(BR4=1,(BR7+BR8)*(1-RETAIL_VAC_PCT),0)</f>
        <v/>
      </c>
      <c r="BS9" s="12">
        <f>IF(BS4=1,(BS7+BS8)*(1-RETAIL_VAC_PCT),0)</f>
        <v/>
      </c>
      <c r="BT9" s="12">
        <f>IF(BT4=1,(BT7+BT8)*(1-RETAIL_VAC_PCT),0)</f>
        <v/>
      </c>
      <c r="BU9" s="12">
        <f>IF(BU4=1,(BU7+BU8)*(1-RETAIL_VAC_PCT),0)</f>
        <v/>
      </c>
      <c r="BV9" s="12">
        <f>IF(BV4=1,(BV7+BV8)*(1-RETAIL_VAC_PCT),0)</f>
        <v/>
      </c>
      <c r="BW9" s="12">
        <f>IF(BW4=1,(BW7+BW8)*(1-RETAIL_VAC_PCT),0)</f>
        <v/>
      </c>
      <c r="BX9" s="12">
        <f>IF(BX4=1,(BX7+BX8)*(1-RETAIL_VAC_PCT),0)</f>
        <v/>
      </c>
      <c r="BY9" s="12">
        <f>IF(BY4=1,(BY7+BY8)*(1-RETAIL_VAC_PCT),0)</f>
        <v/>
      </c>
      <c r="BZ9" s="12">
        <f>IF(BZ4=1,(BZ7+BZ8)*(1-RETAIL_VAC_PCT),0)</f>
        <v/>
      </c>
      <c r="CA9" s="12">
        <f>IF(CA4=1,(CA7+CA8)*(1-RETAIL_VAC_PCT),0)</f>
        <v/>
      </c>
      <c r="CB9" s="12">
        <f>IF(CB4=1,(CB7+CB8)*(1-RETAIL_VAC_PCT),0)</f>
        <v/>
      </c>
      <c r="CC9" s="12">
        <f>IF(CC4=1,(CC7+CC8)*(1-RETAIL_VAC_PCT),0)</f>
        <v/>
      </c>
      <c r="CD9" s="12">
        <f>IF(CD4=1,(CD7+CD8)*(1-RETAIL_VAC_PCT),0)</f>
        <v/>
      </c>
      <c r="CE9" s="12">
        <f>IF(CE4=1,(CE7+CE8)*(1-RETAIL_VAC_PCT),0)</f>
        <v/>
      </c>
      <c r="CF9" s="12">
        <f>IF(CF4=1,(CF7+CF8)*(1-RETAIL_VAC_PCT),0)</f>
        <v/>
      </c>
      <c r="CG9" s="12">
        <f>IF(CG4=1,(CG7+CG8)*(1-RETAIL_VAC_PCT),0)</f>
        <v/>
      </c>
      <c r="CH9" s="12">
        <f>IF(CH4=1,(CH7+CH8)*(1-RETAIL_VAC_PCT),0)</f>
        <v/>
      </c>
    </row>
    <row r="10">
      <c r="A10" s="3" t="inlineStr">
        <is>
          <t>Non-recoverable opex</t>
        </is>
      </c>
      <c r="B10" s="4" t="inlineStr">
        <is>
          <t>$</t>
        </is>
      </c>
      <c r="C10" s="12">
        <f>IF(C4=1,RETAIL_OP_PSF*RETAIL_GSF/12,0)</f>
        <v/>
      </c>
      <c r="D10" s="12">
        <f>IF(D4=1,RETAIL_OP_PSF*RETAIL_GSF/12,0)</f>
        <v/>
      </c>
      <c r="E10" s="12">
        <f>IF(E4=1,RETAIL_OP_PSF*RETAIL_GSF/12,0)</f>
        <v/>
      </c>
      <c r="F10" s="12">
        <f>IF(F4=1,RETAIL_OP_PSF*RETAIL_GSF/12,0)</f>
        <v/>
      </c>
      <c r="G10" s="12">
        <f>IF(G4=1,RETAIL_OP_PSF*RETAIL_GSF/12,0)</f>
        <v/>
      </c>
      <c r="H10" s="12">
        <f>IF(H4=1,RETAIL_OP_PSF*RETAIL_GSF/12,0)</f>
        <v/>
      </c>
      <c r="I10" s="12">
        <f>IF(I4=1,RETAIL_OP_PSF*RETAIL_GSF/12,0)</f>
        <v/>
      </c>
      <c r="J10" s="12">
        <f>IF(J4=1,RETAIL_OP_PSF*RETAIL_GSF/12,0)</f>
        <v/>
      </c>
      <c r="K10" s="12">
        <f>IF(K4=1,RETAIL_OP_PSF*RETAIL_GSF/12,0)</f>
        <v/>
      </c>
      <c r="L10" s="12">
        <f>IF(L4=1,RETAIL_OP_PSF*RETAIL_GSF/12,0)</f>
        <v/>
      </c>
      <c r="M10" s="12">
        <f>IF(M4=1,RETAIL_OP_PSF*RETAIL_GSF/12,0)</f>
        <v/>
      </c>
      <c r="N10" s="12">
        <f>IF(N4=1,RETAIL_OP_PSF*RETAIL_GSF/12,0)</f>
        <v/>
      </c>
      <c r="O10" s="12">
        <f>IF(O4=1,RETAIL_OP_PSF*RETAIL_GSF/12,0)</f>
        <v/>
      </c>
      <c r="P10" s="12">
        <f>IF(P4=1,RETAIL_OP_PSF*RETAIL_GSF/12,0)</f>
        <v/>
      </c>
      <c r="Q10" s="12">
        <f>IF(Q4=1,RETAIL_OP_PSF*RETAIL_GSF/12,0)</f>
        <v/>
      </c>
      <c r="R10" s="12">
        <f>IF(R4=1,RETAIL_OP_PSF*RETAIL_GSF/12,0)</f>
        <v/>
      </c>
      <c r="S10" s="12">
        <f>IF(S4=1,RETAIL_OP_PSF*RETAIL_GSF/12,0)</f>
        <v/>
      </c>
      <c r="T10" s="12">
        <f>IF(T4=1,RETAIL_OP_PSF*RETAIL_GSF/12,0)</f>
        <v/>
      </c>
      <c r="U10" s="12">
        <f>IF(U4=1,RETAIL_OP_PSF*RETAIL_GSF/12,0)</f>
        <v/>
      </c>
      <c r="V10" s="12">
        <f>IF(V4=1,RETAIL_OP_PSF*RETAIL_GSF/12,0)</f>
        <v/>
      </c>
      <c r="W10" s="12">
        <f>IF(W4=1,RETAIL_OP_PSF*RETAIL_GSF/12,0)</f>
        <v/>
      </c>
      <c r="X10" s="12">
        <f>IF(X4=1,RETAIL_OP_PSF*RETAIL_GSF/12,0)</f>
        <v/>
      </c>
      <c r="Y10" s="12">
        <f>IF(Y4=1,RETAIL_OP_PSF*RETAIL_GSF/12,0)</f>
        <v/>
      </c>
      <c r="Z10" s="12">
        <f>IF(Z4=1,RETAIL_OP_PSF*RETAIL_GSF/12,0)</f>
        <v/>
      </c>
      <c r="AA10" s="12">
        <f>IF(AA4=1,RETAIL_OP_PSF*RETAIL_GSF/12,0)</f>
        <v/>
      </c>
      <c r="AB10" s="12">
        <f>IF(AB4=1,RETAIL_OP_PSF*RETAIL_GSF/12,0)</f>
        <v/>
      </c>
      <c r="AC10" s="12">
        <f>IF(AC4=1,RETAIL_OP_PSF*RETAIL_GSF/12,0)</f>
        <v/>
      </c>
      <c r="AD10" s="12">
        <f>IF(AD4=1,RETAIL_OP_PSF*RETAIL_GSF/12,0)</f>
        <v/>
      </c>
      <c r="AE10" s="12">
        <f>IF(AE4=1,RETAIL_OP_PSF*RETAIL_GSF/12,0)</f>
        <v/>
      </c>
      <c r="AF10" s="12">
        <f>IF(AF4=1,RETAIL_OP_PSF*RETAIL_GSF/12,0)</f>
        <v/>
      </c>
      <c r="AG10" s="12">
        <f>IF(AG4=1,RETAIL_OP_PSF*RETAIL_GSF/12,0)</f>
        <v/>
      </c>
      <c r="AH10" s="12">
        <f>IF(AH4=1,RETAIL_OP_PSF*RETAIL_GSF/12,0)</f>
        <v/>
      </c>
      <c r="AI10" s="12">
        <f>IF(AI4=1,RETAIL_OP_PSF*RETAIL_GSF/12,0)</f>
        <v/>
      </c>
      <c r="AJ10" s="12">
        <f>IF(AJ4=1,RETAIL_OP_PSF*RETAIL_GSF/12,0)</f>
        <v/>
      </c>
      <c r="AK10" s="12">
        <f>IF(AK4=1,RETAIL_OP_PSF*RETAIL_GSF/12,0)</f>
        <v/>
      </c>
      <c r="AL10" s="12">
        <f>IF(AL4=1,RETAIL_OP_PSF*RETAIL_GSF/12,0)</f>
        <v/>
      </c>
      <c r="AM10" s="12">
        <f>IF(AM4=1,RETAIL_OP_PSF*RETAIL_GSF/12,0)</f>
        <v/>
      </c>
      <c r="AN10" s="12">
        <f>IF(AN4=1,RETAIL_OP_PSF*RETAIL_GSF/12,0)</f>
        <v/>
      </c>
      <c r="AO10" s="12">
        <f>IF(AO4=1,RETAIL_OP_PSF*RETAIL_GSF/12,0)</f>
        <v/>
      </c>
      <c r="AP10" s="12">
        <f>IF(AP4=1,RETAIL_OP_PSF*RETAIL_GSF/12,0)</f>
        <v/>
      </c>
      <c r="AQ10" s="12">
        <f>IF(AQ4=1,RETAIL_OP_PSF*RETAIL_GSF/12,0)</f>
        <v/>
      </c>
      <c r="AR10" s="12">
        <f>IF(AR4=1,RETAIL_OP_PSF*RETAIL_GSF/12,0)</f>
        <v/>
      </c>
      <c r="AS10" s="12">
        <f>IF(AS4=1,RETAIL_OP_PSF*RETAIL_GSF/12,0)</f>
        <v/>
      </c>
      <c r="AT10" s="12">
        <f>IF(AT4=1,RETAIL_OP_PSF*RETAIL_GSF/12,0)</f>
        <v/>
      </c>
      <c r="AU10" s="12">
        <f>IF(AU4=1,RETAIL_OP_PSF*RETAIL_GSF/12,0)</f>
        <v/>
      </c>
      <c r="AV10" s="12">
        <f>IF(AV4=1,RETAIL_OP_PSF*RETAIL_GSF/12,0)</f>
        <v/>
      </c>
      <c r="AW10" s="12">
        <f>IF(AW4=1,RETAIL_OP_PSF*RETAIL_GSF/12,0)</f>
        <v/>
      </c>
      <c r="AX10" s="12">
        <f>IF(AX4=1,RETAIL_OP_PSF*RETAIL_GSF/12,0)</f>
        <v/>
      </c>
      <c r="AY10" s="12">
        <f>IF(AY4=1,RETAIL_OP_PSF*RETAIL_GSF/12,0)</f>
        <v/>
      </c>
      <c r="AZ10" s="12">
        <f>IF(AZ4=1,RETAIL_OP_PSF*RETAIL_GSF/12,0)</f>
        <v/>
      </c>
      <c r="BA10" s="12">
        <f>IF(BA4=1,RETAIL_OP_PSF*RETAIL_GSF/12,0)</f>
        <v/>
      </c>
      <c r="BB10" s="12">
        <f>IF(BB4=1,RETAIL_OP_PSF*RETAIL_GSF/12,0)</f>
        <v/>
      </c>
      <c r="BC10" s="12">
        <f>IF(BC4=1,RETAIL_OP_PSF*RETAIL_GSF/12,0)</f>
        <v/>
      </c>
      <c r="BD10" s="12">
        <f>IF(BD4=1,RETAIL_OP_PSF*RETAIL_GSF/12,0)</f>
        <v/>
      </c>
      <c r="BE10" s="12">
        <f>IF(BE4=1,RETAIL_OP_PSF*RETAIL_GSF/12,0)</f>
        <v/>
      </c>
      <c r="BF10" s="12">
        <f>IF(BF4=1,RETAIL_OP_PSF*RETAIL_GSF/12,0)</f>
        <v/>
      </c>
      <c r="BG10" s="12">
        <f>IF(BG4=1,RETAIL_OP_PSF*RETAIL_GSF/12,0)</f>
        <v/>
      </c>
      <c r="BH10" s="12">
        <f>IF(BH4=1,RETAIL_OP_PSF*RETAIL_GSF/12,0)</f>
        <v/>
      </c>
      <c r="BI10" s="12">
        <f>IF(BI4=1,RETAIL_OP_PSF*RETAIL_GSF/12,0)</f>
        <v/>
      </c>
      <c r="BJ10" s="12">
        <f>IF(BJ4=1,RETAIL_OP_PSF*RETAIL_GSF/12,0)</f>
        <v/>
      </c>
      <c r="BK10" s="12">
        <f>IF(BK4=1,RETAIL_OP_PSF*RETAIL_GSF/12,0)</f>
        <v/>
      </c>
      <c r="BL10" s="12">
        <f>IF(BL4=1,RETAIL_OP_PSF*RETAIL_GSF/12,0)</f>
        <v/>
      </c>
      <c r="BM10" s="12">
        <f>IF(BM4=1,RETAIL_OP_PSF*RETAIL_GSF/12,0)</f>
        <v/>
      </c>
      <c r="BN10" s="12">
        <f>IF(BN4=1,RETAIL_OP_PSF*RETAIL_GSF/12,0)</f>
        <v/>
      </c>
      <c r="BO10" s="12">
        <f>IF(BO4=1,RETAIL_OP_PSF*RETAIL_GSF/12,0)</f>
        <v/>
      </c>
      <c r="BP10" s="12">
        <f>IF(BP4=1,RETAIL_OP_PSF*RETAIL_GSF/12,0)</f>
        <v/>
      </c>
      <c r="BQ10" s="12">
        <f>IF(BQ4=1,RETAIL_OP_PSF*RETAIL_GSF/12,0)</f>
        <v/>
      </c>
      <c r="BR10" s="12">
        <f>IF(BR4=1,RETAIL_OP_PSF*RETAIL_GSF/12,0)</f>
        <v/>
      </c>
      <c r="BS10" s="12">
        <f>IF(BS4=1,RETAIL_OP_PSF*RETAIL_GSF/12,0)</f>
        <v/>
      </c>
      <c r="BT10" s="12">
        <f>IF(BT4=1,RETAIL_OP_PSF*RETAIL_GSF/12,0)</f>
        <v/>
      </c>
      <c r="BU10" s="12">
        <f>IF(BU4=1,RETAIL_OP_PSF*RETAIL_GSF/12,0)</f>
        <v/>
      </c>
      <c r="BV10" s="12">
        <f>IF(BV4=1,RETAIL_OP_PSF*RETAIL_GSF/12,0)</f>
        <v/>
      </c>
      <c r="BW10" s="12">
        <f>IF(BW4=1,RETAIL_OP_PSF*RETAIL_GSF/12,0)</f>
        <v/>
      </c>
      <c r="BX10" s="12">
        <f>IF(BX4=1,RETAIL_OP_PSF*RETAIL_GSF/12,0)</f>
        <v/>
      </c>
      <c r="BY10" s="12">
        <f>IF(BY4=1,RETAIL_OP_PSF*RETAIL_GSF/12,0)</f>
        <v/>
      </c>
      <c r="BZ10" s="12">
        <f>IF(BZ4=1,RETAIL_OP_PSF*RETAIL_GSF/12,0)</f>
        <v/>
      </c>
      <c r="CA10" s="12">
        <f>IF(CA4=1,RETAIL_OP_PSF*RETAIL_GSF/12,0)</f>
        <v/>
      </c>
      <c r="CB10" s="12">
        <f>IF(CB4=1,RETAIL_OP_PSF*RETAIL_GSF/12,0)</f>
        <v/>
      </c>
      <c r="CC10" s="12">
        <f>IF(CC4=1,RETAIL_OP_PSF*RETAIL_GSF/12,0)</f>
        <v/>
      </c>
      <c r="CD10" s="12">
        <f>IF(CD4=1,RETAIL_OP_PSF*RETAIL_GSF/12,0)</f>
        <v/>
      </c>
      <c r="CE10" s="12">
        <f>IF(CE4=1,RETAIL_OP_PSF*RETAIL_GSF/12,0)</f>
        <v/>
      </c>
      <c r="CF10" s="12">
        <f>IF(CF4=1,RETAIL_OP_PSF*RETAIL_GSF/12,0)</f>
        <v/>
      </c>
      <c r="CG10" s="12">
        <f>IF(CG4=1,RETAIL_OP_PSF*RETAIL_GSF/12,0)</f>
        <v/>
      </c>
      <c r="CH10" s="12">
        <f>IF(CH4=1,RETAIL_OP_PSF*RETAIL_GSF/12,0)</f>
        <v/>
      </c>
    </row>
    <row r="11">
      <c r="A11" s="3" t="inlineStr">
        <is>
          <t>Management fee</t>
        </is>
      </c>
      <c r="B11" s="4" t="inlineStr">
        <is>
          <t>$</t>
        </is>
      </c>
      <c r="C11" s="12">
        <f>RETAIL_MGMT_PCT*C9</f>
        <v/>
      </c>
      <c r="D11" s="12">
        <f>RETAIL_MGMT_PCT*D9</f>
        <v/>
      </c>
      <c r="E11" s="12">
        <f>RETAIL_MGMT_PCT*E9</f>
        <v/>
      </c>
      <c r="F11" s="12">
        <f>RETAIL_MGMT_PCT*F9</f>
        <v/>
      </c>
      <c r="G11" s="12">
        <f>RETAIL_MGMT_PCT*G9</f>
        <v/>
      </c>
      <c r="H11" s="12">
        <f>RETAIL_MGMT_PCT*H9</f>
        <v/>
      </c>
      <c r="I11" s="12">
        <f>RETAIL_MGMT_PCT*I9</f>
        <v/>
      </c>
      <c r="J11" s="12">
        <f>RETAIL_MGMT_PCT*J9</f>
        <v/>
      </c>
      <c r="K11" s="12">
        <f>RETAIL_MGMT_PCT*K9</f>
        <v/>
      </c>
      <c r="L11" s="12">
        <f>RETAIL_MGMT_PCT*L9</f>
        <v/>
      </c>
      <c r="M11" s="12">
        <f>RETAIL_MGMT_PCT*M9</f>
        <v/>
      </c>
      <c r="N11" s="12">
        <f>RETAIL_MGMT_PCT*N9</f>
        <v/>
      </c>
      <c r="O11" s="12">
        <f>RETAIL_MGMT_PCT*O9</f>
        <v/>
      </c>
      <c r="P11" s="12">
        <f>RETAIL_MGMT_PCT*P9</f>
        <v/>
      </c>
      <c r="Q11" s="12">
        <f>RETAIL_MGMT_PCT*Q9</f>
        <v/>
      </c>
      <c r="R11" s="12">
        <f>RETAIL_MGMT_PCT*R9</f>
        <v/>
      </c>
      <c r="S11" s="12">
        <f>RETAIL_MGMT_PCT*S9</f>
        <v/>
      </c>
      <c r="T11" s="12">
        <f>RETAIL_MGMT_PCT*T9</f>
        <v/>
      </c>
      <c r="U11" s="12">
        <f>RETAIL_MGMT_PCT*U9</f>
        <v/>
      </c>
      <c r="V11" s="12">
        <f>RETAIL_MGMT_PCT*V9</f>
        <v/>
      </c>
      <c r="W11" s="12">
        <f>RETAIL_MGMT_PCT*W9</f>
        <v/>
      </c>
      <c r="X11" s="12">
        <f>RETAIL_MGMT_PCT*X9</f>
        <v/>
      </c>
      <c r="Y11" s="12">
        <f>RETAIL_MGMT_PCT*Y9</f>
        <v/>
      </c>
      <c r="Z11" s="12">
        <f>RETAIL_MGMT_PCT*Z9</f>
        <v/>
      </c>
      <c r="AA11" s="12">
        <f>RETAIL_MGMT_PCT*AA9</f>
        <v/>
      </c>
      <c r="AB11" s="12">
        <f>RETAIL_MGMT_PCT*AB9</f>
        <v/>
      </c>
      <c r="AC11" s="12">
        <f>RETAIL_MGMT_PCT*AC9</f>
        <v/>
      </c>
      <c r="AD11" s="12">
        <f>RETAIL_MGMT_PCT*AD9</f>
        <v/>
      </c>
      <c r="AE11" s="12">
        <f>RETAIL_MGMT_PCT*AE9</f>
        <v/>
      </c>
      <c r="AF11" s="12">
        <f>RETAIL_MGMT_PCT*AF9</f>
        <v/>
      </c>
      <c r="AG11" s="12">
        <f>RETAIL_MGMT_PCT*AG9</f>
        <v/>
      </c>
      <c r="AH11" s="12">
        <f>RETAIL_MGMT_PCT*AH9</f>
        <v/>
      </c>
      <c r="AI11" s="12">
        <f>RETAIL_MGMT_PCT*AI9</f>
        <v/>
      </c>
      <c r="AJ11" s="12">
        <f>RETAIL_MGMT_PCT*AJ9</f>
        <v/>
      </c>
      <c r="AK11" s="12">
        <f>RETAIL_MGMT_PCT*AK9</f>
        <v/>
      </c>
      <c r="AL11" s="12">
        <f>RETAIL_MGMT_PCT*AL9</f>
        <v/>
      </c>
      <c r="AM11" s="12">
        <f>RETAIL_MGMT_PCT*AM9</f>
        <v/>
      </c>
      <c r="AN11" s="12">
        <f>RETAIL_MGMT_PCT*AN9</f>
        <v/>
      </c>
      <c r="AO11" s="12">
        <f>RETAIL_MGMT_PCT*AO9</f>
        <v/>
      </c>
      <c r="AP11" s="12">
        <f>RETAIL_MGMT_PCT*AP9</f>
        <v/>
      </c>
      <c r="AQ11" s="12">
        <f>RETAIL_MGMT_PCT*AQ9</f>
        <v/>
      </c>
      <c r="AR11" s="12">
        <f>RETAIL_MGMT_PCT*AR9</f>
        <v/>
      </c>
      <c r="AS11" s="12">
        <f>RETAIL_MGMT_PCT*AS9</f>
        <v/>
      </c>
      <c r="AT11" s="12">
        <f>RETAIL_MGMT_PCT*AT9</f>
        <v/>
      </c>
      <c r="AU11" s="12">
        <f>RETAIL_MGMT_PCT*AU9</f>
        <v/>
      </c>
      <c r="AV11" s="12">
        <f>RETAIL_MGMT_PCT*AV9</f>
        <v/>
      </c>
      <c r="AW11" s="12">
        <f>RETAIL_MGMT_PCT*AW9</f>
        <v/>
      </c>
      <c r="AX11" s="12">
        <f>RETAIL_MGMT_PCT*AX9</f>
        <v/>
      </c>
      <c r="AY11" s="12">
        <f>RETAIL_MGMT_PCT*AY9</f>
        <v/>
      </c>
      <c r="AZ11" s="12">
        <f>RETAIL_MGMT_PCT*AZ9</f>
        <v/>
      </c>
      <c r="BA11" s="12">
        <f>RETAIL_MGMT_PCT*BA9</f>
        <v/>
      </c>
      <c r="BB11" s="12">
        <f>RETAIL_MGMT_PCT*BB9</f>
        <v/>
      </c>
      <c r="BC11" s="12">
        <f>RETAIL_MGMT_PCT*BC9</f>
        <v/>
      </c>
      <c r="BD11" s="12">
        <f>RETAIL_MGMT_PCT*BD9</f>
        <v/>
      </c>
      <c r="BE11" s="12">
        <f>RETAIL_MGMT_PCT*BE9</f>
        <v/>
      </c>
      <c r="BF11" s="12">
        <f>RETAIL_MGMT_PCT*BF9</f>
        <v/>
      </c>
      <c r="BG11" s="12">
        <f>RETAIL_MGMT_PCT*BG9</f>
        <v/>
      </c>
      <c r="BH11" s="12">
        <f>RETAIL_MGMT_PCT*BH9</f>
        <v/>
      </c>
      <c r="BI11" s="12">
        <f>RETAIL_MGMT_PCT*BI9</f>
        <v/>
      </c>
      <c r="BJ11" s="12">
        <f>RETAIL_MGMT_PCT*BJ9</f>
        <v/>
      </c>
      <c r="BK11" s="12">
        <f>RETAIL_MGMT_PCT*BK9</f>
        <v/>
      </c>
      <c r="BL11" s="12">
        <f>RETAIL_MGMT_PCT*BL9</f>
        <v/>
      </c>
      <c r="BM11" s="12">
        <f>RETAIL_MGMT_PCT*BM9</f>
        <v/>
      </c>
      <c r="BN11" s="12">
        <f>RETAIL_MGMT_PCT*BN9</f>
        <v/>
      </c>
      <c r="BO11" s="12">
        <f>RETAIL_MGMT_PCT*BO9</f>
        <v/>
      </c>
      <c r="BP11" s="12">
        <f>RETAIL_MGMT_PCT*BP9</f>
        <v/>
      </c>
      <c r="BQ11" s="12">
        <f>RETAIL_MGMT_PCT*BQ9</f>
        <v/>
      </c>
      <c r="BR11" s="12">
        <f>RETAIL_MGMT_PCT*BR9</f>
        <v/>
      </c>
      <c r="BS11" s="12">
        <f>RETAIL_MGMT_PCT*BS9</f>
        <v/>
      </c>
      <c r="BT11" s="12">
        <f>RETAIL_MGMT_PCT*BT9</f>
        <v/>
      </c>
      <c r="BU11" s="12">
        <f>RETAIL_MGMT_PCT*BU9</f>
        <v/>
      </c>
      <c r="BV11" s="12">
        <f>RETAIL_MGMT_PCT*BV9</f>
        <v/>
      </c>
      <c r="BW11" s="12">
        <f>RETAIL_MGMT_PCT*BW9</f>
        <v/>
      </c>
      <c r="BX11" s="12">
        <f>RETAIL_MGMT_PCT*BX9</f>
        <v/>
      </c>
      <c r="BY11" s="12">
        <f>RETAIL_MGMT_PCT*BY9</f>
        <v/>
      </c>
      <c r="BZ11" s="12">
        <f>RETAIL_MGMT_PCT*BZ9</f>
        <v/>
      </c>
      <c r="CA11" s="12">
        <f>RETAIL_MGMT_PCT*CA9</f>
        <v/>
      </c>
      <c r="CB11" s="12">
        <f>RETAIL_MGMT_PCT*CB9</f>
        <v/>
      </c>
      <c r="CC11" s="12">
        <f>RETAIL_MGMT_PCT*CC9</f>
        <v/>
      </c>
      <c r="CD11" s="12">
        <f>RETAIL_MGMT_PCT*CD9</f>
        <v/>
      </c>
      <c r="CE11" s="12">
        <f>RETAIL_MGMT_PCT*CE9</f>
        <v/>
      </c>
      <c r="CF11" s="12">
        <f>RETAIL_MGMT_PCT*CF9</f>
        <v/>
      </c>
      <c r="CG11" s="12">
        <f>RETAIL_MGMT_PCT*CG9</f>
        <v/>
      </c>
      <c r="CH11" s="12">
        <f>RETAIL_MGMT_PCT*CH9</f>
        <v/>
      </c>
    </row>
    <row r="12">
      <c r="A12" s="3" t="inlineStr">
        <is>
          <t>Retail NOI</t>
        </is>
      </c>
      <c r="B12" s="4" t="inlineStr">
        <is>
          <t>$</t>
        </is>
      </c>
      <c r="C12" s="12">
        <f>C9-C10-C11</f>
        <v/>
      </c>
      <c r="D12" s="12">
        <f>D9-D10-D11</f>
        <v/>
      </c>
      <c r="E12" s="12">
        <f>E9-E10-E11</f>
        <v/>
      </c>
      <c r="F12" s="12">
        <f>F9-F10-F11</f>
        <v/>
      </c>
      <c r="G12" s="12">
        <f>G9-G10-G11</f>
        <v/>
      </c>
      <c r="H12" s="12">
        <f>H9-H10-H11</f>
        <v/>
      </c>
      <c r="I12" s="12">
        <f>I9-I10-I11</f>
        <v/>
      </c>
      <c r="J12" s="12">
        <f>J9-J10-J11</f>
        <v/>
      </c>
      <c r="K12" s="12">
        <f>K9-K10-K11</f>
        <v/>
      </c>
      <c r="L12" s="12">
        <f>L9-L10-L11</f>
        <v/>
      </c>
      <c r="M12" s="12">
        <f>M9-M10-M11</f>
        <v/>
      </c>
      <c r="N12" s="12">
        <f>N9-N10-N11</f>
        <v/>
      </c>
      <c r="O12" s="12">
        <f>O9-O10-O11</f>
        <v/>
      </c>
      <c r="P12" s="12">
        <f>P9-P10-P11</f>
        <v/>
      </c>
      <c r="Q12" s="12">
        <f>Q9-Q10-Q11</f>
        <v/>
      </c>
      <c r="R12" s="12">
        <f>R9-R10-R11</f>
        <v/>
      </c>
      <c r="S12" s="12">
        <f>S9-S10-S11</f>
        <v/>
      </c>
      <c r="T12" s="12">
        <f>T9-T10-T11</f>
        <v/>
      </c>
      <c r="U12" s="12">
        <f>U9-U10-U11</f>
        <v/>
      </c>
      <c r="V12" s="12">
        <f>V9-V10-V11</f>
        <v/>
      </c>
      <c r="W12" s="12">
        <f>W9-W10-W11</f>
        <v/>
      </c>
      <c r="X12" s="12">
        <f>X9-X10-X11</f>
        <v/>
      </c>
      <c r="Y12" s="12">
        <f>Y9-Y10-Y11</f>
        <v/>
      </c>
      <c r="Z12" s="12">
        <f>Z9-Z10-Z11</f>
        <v/>
      </c>
      <c r="AA12" s="12">
        <f>AA9-AA10-AA11</f>
        <v/>
      </c>
      <c r="AB12" s="12">
        <f>AB9-AB10-AB11</f>
        <v/>
      </c>
      <c r="AC12" s="12">
        <f>AC9-AC10-AC11</f>
        <v/>
      </c>
      <c r="AD12" s="12">
        <f>AD9-AD10-AD11</f>
        <v/>
      </c>
      <c r="AE12" s="12">
        <f>AE9-AE10-AE11</f>
        <v/>
      </c>
      <c r="AF12" s="12">
        <f>AF9-AF10-AF11</f>
        <v/>
      </c>
      <c r="AG12" s="12">
        <f>AG9-AG10-AG11</f>
        <v/>
      </c>
      <c r="AH12" s="12">
        <f>AH9-AH10-AH11</f>
        <v/>
      </c>
      <c r="AI12" s="12">
        <f>AI9-AI10-AI11</f>
        <v/>
      </c>
      <c r="AJ12" s="12">
        <f>AJ9-AJ10-AJ11</f>
        <v/>
      </c>
      <c r="AK12" s="12">
        <f>AK9-AK10-AK11</f>
        <v/>
      </c>
      <c r="AL12" s="12">
        <f>AL9-AL10-AL11</f>
        <v/>
      </c>
      <c r="AM12" s="12">
        <f>AM9-AM10-AM11</f>
        <v/>
      </c>
      <c r="AN12" s="12">
        <f>AN9-AN10-AN11</f>
        <v/>
      </c>
      <c r="AO12" s="12">
        <f>AO9-AO10-AO11</f>
        <v/>
      </c>
      <c r="AP12" s="12">
        <f>AP9-AP10-AP11</f>
        <v/>
      </c>
      <c r="AQ12" s="12">
        <f>AQ9-AQ10-AQ11</f>
        <v/>
      </c>
      <c r="AR12" s="12">
        <f>AR9-AR10-AR11</f>
        <v/>
      </c>
      <c r="AS12" s="12">
        <f>AS9-AS10-AS11</f>
        <v/>
      </c>
      <c r="AT12" s="12">
        <f>AT9-AT10-AT11</f>
        <v/>
      </c>
      <c r="AU12" s="12">
        <f>AU9-AU10-AU11</f>
        <v/>
      </c>
      <c r="AV12" s="12">
        <f>AV9-AV10-AV11</f>
        <v/>
      </c>
      <c r="AW12" s="12">
        <f>AW9-AW10-AW11</f>
        <v/>
      </c>
      <c r="AX12" s="12">
        <f>AX9-AX10-AX11</f>
        <v/>
      </c>
      <c r="AY12" s="12">
        <f>AY9-AY10-AY11</f>
        <v/>
      </c>
      <c r="AZ12" s="12">
        <f>AZ9-AZ10-AZ11</f>
        <v/>
      </c>
      <c r="BA12" s="12">
        <f>BA9-BA10-BA11</f>
        <v/>
      </c>
      <c r="BB12" s="12">
        <f>BB9-BB10-BB11</f>
        <v/>
      </c>
      <c r="BC12" s="12">
        <f>BC9-BC10-BC11</f>
        <v/>
      </c>
      <c r="BD12" s="12">
        <f>BD9-BD10-BD11</f>
        <v/>
      </c>
      <c r="BE12" s="12">
        <f>BE9-BE10-BE11</f>
        <v/>
      </c>
      <c r="BF12" s="12">
        <f>BF9-BF10-BF11</f>
        <v/>
      </c>
      <c r="BG12" s="12">
        <f>BG9-BG10-BG11</f>
        <v/>
      </c>
      <c r="BH12" s="12">
        <f>BH9-BH10-BH11</f>
        <v/>
      </c>
      <c r="BI12" s="12">
        <f>BI9-BI10-BI11</f>
        <v/>
      </c>
      <c r="BJ12" s="12">
        <f>BJ9-BJ10-BJ11</f>
        <v/>
      </c>
      <c r="BK12" s="12">
        <f>BK9-BK10-BK11</f>
        <v/>
      </c>
      <c r="BL12" s="12">
        <f>BL9-BL10-BL11</f>
        <v/>
      </c>
      <c r="BM12" s="12">
        <f>BM9-BM10-BM11</f>
        <v/>
      </c>
      <c r="BN12" s="12">
        <f>BN9-BN10-BN11</f>
        <v/>
      </c>
      <c r="BO12" s="12">
        <f>BO9-BO10-BO11</f>
        <v/>
      </c>
      <c r="BP12" s="12">
        <f>BP9-BP10-BP11</f>
        <v/>
      </c>
      <c r="BQ12" s="12">
        <f>BQ9-BQ10-BQ11</f>
        <v/>
      </c>
      <c r="BR12" s="12">
        <f>BR9-BR10-BR11</f>
        <v/>
      </c>
      <c r="BS12" s="12">
        <f>BS9-BS10-BS11</f>
        <v/>
      </c>
      <c r="BT12" s="12">
        <f>BT9-BT10-BT11</f>
        <v/>
      </c>
      <c r="BU12" s="12">
        <f>BU9-BU10-BU11</f>
        <v/>
      </c>
      <c r="BV12" s="12">
        <f>BV9-BV10-BV11</f>
        <v/>
      </c>
      <c r="BW12" s="12">
        <f>BW9-BW10-BW11</f>
        <v/>
      </c>
      <c r="BX12" s="12">
        <f>BX9-BX10-BX11</f>
        <v/>
      </c>
      <c r="BY12" s="12">
        <f>BY9-BY10-BY11</f>
        <v/>
      </c>
      <c r="BZ12" s="12">
        <f>BZ9-BZ10-BZ11</f>
        <v/>
      </c>
      <c r="CA12" s="12">
        <f>CA9-CA10-CA11</f>
        <v/>
      </c>
      <c r="CB12" s="12">
        <f>CB9-CB10-CB11</f>
        <v/>
      </c>
      <c r="CC12" s="12">
        <f>CC9-CC10-CC11</f>
        <v/>
      </c>
      <c r="CD12" s="12">
        <f>CD9-CD10-CD11</f>
        <v/>
      </c>
      <c r="CE12" s="12">
        <f>CE9-CE10-CE11</f>
        <v/>
      </c>
      <c r="CF12" s="12">
        <f>CF9-CF10-CF11</f>
        <v/>
      </c>
      <c r="CG12" s="12">
        <f>CG9-CG10-CG11</f>
        <v/>
      </c>
      <c r="CH12" s="12">
        <f>CH9-CH10-CH11</f>
        <v/>
      </c>
    </row>
  </sheetData>
  <autoFilter ref="A2:CH2"/>
  <pageMargins left="0.4" right="0.4" top="0.6" bottom="0.5" header="0.25" footer="0.25"/>
  <pageSetup orientation="landscape" paperSize="3" scale="55" fitToHeight="0" fitToWidth="1"/>
  <headerFooter>
    <oddHeader>&amp;LElite Luxury Mixed-Use  |  Illustrative template&amp;CRetailProForma</oddHeader>
    <oddFooter>&amp;LNot a live deal  |  Not an offering  |  Not investment advice&amp;RPage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H11"/>
  <sheetViews>
    <sheetView view="pageBreakPreview" zoomScale="8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</cols>
  <sheetData>
    <row r="1" ht="22" customHeight="1">
      <c r="A1" s="1" t="inlineStr">
        <is>
          <t>HotelProForma</t>
        </is>
      </c>
    </row>
    <row r="2">
      <c r="A2" s="3" t="inlineStr">
        <is>
          <t>Month</t>
        </is>
      </c>
      <c r="B2" t="inlineStr">
        <is>
          <t>index</t>
        </is>
      </c>
      <c r="C2" s="15">
        <f>COLUMN()-2</f>
        <v/>
      </c>
      <c r="D2" s="15">
        <f>COLUMN()-2</f>
        <v/>
      </c>
      <c r="E2" s="15">
        <f>COLUMN()-2</f>
        <v/>
      </c>
      <c r="F2" s="15">
        <f>COLUMN()-2</f>
        <v/>
      </c>
      <c r="G2" s="15">
        <f>COLUMN()-2</f>
        <v/>
      </c>
      <c r="H2" s="15">
        <f>COLUMN()-2</f>
        <v/>
      </c>
      <c r="I2" s="15">
        <f>COLUMN()-2</f>
        <v/>
      </c>
      <c r="J2" s="15">
        <f>COLUMN()-2</f>
        <v/>
      </c>
      <c r="K2" s="15">
        <f>COLUMN()-2</f>
        <v/>
      </c>
      <c r="L2" s="15">
        <f>COLUMN()-2</f>
        <v/>
      </c>
      <c r="M2" s="15">
        <f>COLUMN()-2</f>
        <v/>
      </c>
      <c r="N2" s="15">
        <f>COLUMN()-2</f>
        <v/>
      </c>
      <c r="O2" s="15">
        <f>COLUMN()-2</f>
        <v/>
      </c>
      <c r="P2" s="15">
        <f>COLUMN()-2</f>
        <v/>
      </c>
      <c r="Q2" s="15">
        <f>COLUMN()-2</f>
        <v/>
      </c>
      <c r="R2" s="15">
        <f>COLUMN()-2</f>
        <v/>
      </c>
      <c r="S2" s="15">
        <f>COLUMN()-2</f>
        <v/>
      </c>
      <c r="T2" s="15">
        <f>COLUMN()-2</f>
        <v/>
      </c>
      <c r="U2" s="15">
        <f>COLUMN()-2</f>
        <v/>
      </c>
      <c r="V2" s="15">
        <f>COLUMN()-2</f>
        <v/>
      </c>
      <c r="W2" s="15">
        <f>COLUMN()-2</f>
        <v/>
      </c>
      <c r="X2" s="15">
        <f>COLUMN()-2</f>
        <v/>
      </c>
      <c r="Y2" s="15">
        <f>COLUMN()-2</f>
        <v/>
      </c>
      <c r="Z2" s="15">
        <f>COLUMN()-2</f>
        <v/>
      </c>
      <c r="AA2" s="15">
        <f>COLUMN()-2</f>
        <v/>
      </c>
      <c r="AB2" s="15">
        <f>COLUMN()-2</f>
        <v/>
      </c>
      <c r="AC2" s="15">
        <f>COLUMN()-2</f>
        <v/>
      </c>
      <c r="AD2" s="15">
        <f>COLUMN()-2</f>
        <v/>
      </c>
      <c r="AE2" s="15">
        <f>COLUMN()-2</f>
        <v/>
      </c>
      <c r="AF2" s="15">
        <f>COLUMN()-2</f>
        <v/>
      </c>
      <c r="AG2" s="15">
        <f>COLUMN()-2</f>
        <v/>
      </c>
      <c r="AH2" s="15">
        <f>COLUMN()-2</f>
        <v/>
      </c>
      <c r="AI2" s="15">
        <f>COLUMN()-2</f>
        <v/>
      </c>
      <c r="AJ2" s="15">
        <f>COLUMN()-2</f>
        <v/>
      </c>
      <c r="AK2" s="15">
        <f>COLUMN()-2</f>
        <v/>
      </c>
      <c r="AL2" s="15">
        <f>COLUMN()-2</f>
        <v/>
      </c>
      <c r="AM2" s="15">
        <f>COLUMN()-2</f>
        <v/>
      </c>
      <c r="AN2" s="15">
        <f>COLUMN()-2</f>
        <v/>
      </c>
      <c r="AO2" s="15">
        <f>COLUMN()-2</f>
        <v/>
      </c>
      <c r="AP2" s="15">
        <f>COLUMN()-2</f>
        <v/>
      </c>
      <c r="AQ2" s="15">
        <f>COLUMN()-2</f>
        <v/>
      </c>
      <c r="AR2" s="15">
        <f>COLUMN()-2</f>
        <v/>
      </c>
      <c r="AS2" s="15">
        <f>COLUMN()-2</f>
        <v/>
      </c>
      <c r="AT2" s="15">
        <f>COLUMN()-2</f>
        <v/>
      </c>
      <c r="AU2" s="15">
        <f>COLUMN()-2</f>
        <v/>
      </c>
      <c r="AV2" s="15">
        <f>COLUMN()-2</f>
        <v/>
      </c>
      <c r="AW2" s="15">
        <f>COLUMN()-2</f>
        <v/>
      </c>
      <c r="AX2" s="15">
        <f>COLUMN()-2</f>
        <v/>
      </c>
      <c r="AY2" s="15">
        <f>COLUMN()-2</f>
        <v/>
      </c>
      <c r="AZ2" s="15">
        <f>COLUMN()-2</f>
        <v/>
      </c>
      <c r="BA2" s="15">
        <f>COLUMN()-2</f>
        <v/>
      </c>
      <c r="BB2" s="15">
        <f>COLUMN()-2</f>
        <v/>
      </c>
      <c r="BC2" s="15">
        <f>COLUMN()-2</f>
        <v/>
      </c>
      <c r="BD2" s="15">
        <f>COLUMN()-2</f>
        <v/>
      </c>
      <c r="BE2" s="15">
        <f>COLUMN()-2</f>
        <v/>
      </c>
      <c r="BF2" s="15">
        <f>COLUMN()-2</f>
        <v/>
      </c>
      <c r="BG2" s="15">
        <f>COLUMN()-2</f>
        <v/>
      </c>
      <c r="BH2" s="15">
        <f>COLUMN()-2</f>
        <v/>
      </c>
      <c r="BI2" s="15">
        <f>COLUMN()-2</f>
        <v/>
      </c>
      <c r="BJ2" s="15">
        <f>COLUMN()-2</f>
        <v/>
      </c>
      <c r="BK2" s="15">
        <f>COLUMN()-2</f>
        <v/>
      </c>
      <c r="BL2" s="15">
        <f>COLUMN()-2</f>
        <v/>
      </c>
      <c r="BM2" s="15">
        <f>COLUMN()-2</f>
        <v/>
      </c>
      <c r="BN2" s="15">
        <f>COLUMN()-2</f>
        <v/>
      </c>
      <c r="BO2" s="15">
        <f>COLUMN()-2</f>
        <v/>
      </c>
      <c r="BP2" s="15">
        <f>COLUMN()-2</f>
        <v/>
      </c>
      <c r="BQ2" s="15">
        <f>COLUMN()-2</f>
        <v/>
      </c>
      <c r="BR2" s="15">
        <f>COLUMN()-2</f>
        <v/>
      </c>
      <c r="BS2" s="15">
        <f>COLUMN()-2</f>
        <v/>
      </c>
      <c r="BT2" s="15">
        <f>COLUMN()-2</f>
        <v/>
      </c>
      <c r="BU2" s="15">
        <f>COLUMN()-2</f>
        <v/>
      </c>
      <c r="BV2" s="15">
        <f>COLUMN()-2</f>
        <v/>
      </c>
      <c r="BW2" s="15">
        <f>COLUMN()-2</f>
        <v/>
      </c>
      <c r="BX2" s="15">
        <f>COLUMN()-2</f>
        <v/>
      </c>
      <c r="BY2" s="15">
        <f>COLUMN()-2</f>
        <v/>
      </c>
      <c r="BZ2" s="15">
        <f>COLUMN()-2</f>
        <v/>
      </c>
      <c r="CA2" s="15">
        <f>COLUMN()-2</f>
        <v/>
      </c>
      <c r="CB2" s="15">
        <f>COLUMN()-2</f>
        <v/>
      </c>
      <c r="CC2" s="15">
        <f>COLUMN()-2</f>
        <v/>
      </c>
      <c r="CD2" s="15">
        <f>COLUMN()-2</f>
        <v/>
      </c>
      <c r="CE2" s="15">
        <f>COLUMN()-2</f>
        <v/>
      </c>
      <c r="CF2" s="15">
        <f>COLUMN()-2</f>
        <v/>
      </c>
      <c r="CG2" s="15">
        <f>COLUMN()-2</f>
        <v/>
      </c>
      <c r="CH2" s="15">
        <f>COLUMN()-2</f>
        <v/>
      </c>
    </row>
    <row r="3">
      <c r="A3" s="3" t="inlineStr">
        <is>
          <t>Date</t>
        </is>
      </c>
      <c r="B3" t="inlineStr">
        <is>
          <t>month-end</t>
        </is>
      </c>
      <c r="C3" s="11">
        <f>EOMONTH(DATE(2026,1,1),C2-1)</f>
        <v/>
      </c>
      <c r="D3" s="11">
        <f>EOMONTH(DATE(2026,1,1),D2-1)</f>
        <v/>
      </c>
      <c r="E3" s="11">
        <f>EOMONTH(DATE(2026,1,1),E2-1)</f>
        <v/>
      </c>
      <c r="F3" s="11">
        <f>EOMONTH(DATE(2026,1,1),F2-1)</f>
        <v/>
      </c>
      <c r="G3" s="11">
        <f>EOMONTH(DATE(2026,1,1),G2-1)</f>
        <v/>
      </c>
      <c r="H3" s="11">
        <f>EOMONTH(DATE(2026,1,1),H2-1)</f>
        <v/>
      </c>
      <c r="I3" s="11">
        <f>EOMONTH(DATE(2026,1,1),I2-1)</f>
        <v/>
      </c>
      <c r="J3" s="11">
        <f>EOMONTH(DATE(2026,1,1),J2-1)</f>
        <v/>
      </c>
      <c r="K3" s="11">
        <f>EOMONTH(DATE(2026,1,1),K2-1)</f>
        <v/>
      </c>
      <c r="L3" s="11">
        <f>EOMONTH(DATE(2026,1,1),L2-1)</f>
        <v/>
      </c>
      <c r="M3" s="11">
        <f>EOMONTH(DATE(2026,1,1),M2-1)</f>
        <v/>
      </c>
      <c r="N3" s="11">
        <f>EOMONTH(DATE(2026,1,1),N2-1)</f>
        <v/>
      </c>
      <c r="O3" s="11">
        <f>EOMONTH(DATE(2026,1,1),O2-1)</f>
        <v/>
      </c>
      <c r="P3" s="11">
        <f>EOMONTH(DATE(2026,1,1),P2-1)</f>
        <v/>
      </c>
      <c r="Q3" s="11">
        <f>EOMONTH(DATE(2026,1,1),Q2-1)</f>
        <v/>
      </c>
      <c r="R3" s="11">
        <f>EOMONTH(DATE(2026,1,1),R2-1)</f>
        <v/>
      </c>
      <c r="S3" s="11">
        <f>EOMONTH(DATE(2026,1,1),S2-1)</f>
        <v/>
      </c>
      <c r="T3" s="11">
        <f>EOMONTH(DATE(2026,1,1),T2-1)</f>
        <v/>
      </c>
      <c r="U3" s="11">
        <f>EOMONTH(DATE(2026,1,1),U2-1)</f>
        <v/>
      </c>
      <c r="V3" s="11">
        <f>EOMONTH(DATE(2026,1,1),V2-1)</f>
        <v/>
      </c>
      <c r="W3" s="11">
        <f>EOMONTH(DATE(2026,1,1),W2-1)</f>
        <v/>
      </c>
      <c r="X3" s="11">
        <f>EOMONTH(DATE(2026,1,1),X2-1)</f>
        <v/>
      </c>
      <c r="Y3" s="11">
        <f>EOMONTH(DATE(2026,1,1),Y2-1)</f>
        <v/>
      </c>
      <c r="Z3" s="11">
        <f>EOMONTH(DATE(2026,1,1),Z2-1)</f>
        <v/>
      </c>
      <c r="AA3" s="11">
        <f>EOMONTH(DATE(2026,1,1),AA2-1)</f>
        <v/>
      </c>
      <c r="AB3" s="11">
        <f>EOMONTH(DATE(2026,1,1),AB2-1)</f>
        <v/>
      </c>
      <c r="AC3" s="11">
        <f>EOMONTH(DATE(2026,1,1),AC2-1)</f>
        <v/>
      </c>
      <c r="AD3" s="11">
        <f>EOMONTH(DATE(2026,1,1),AD2-1)</f>
        <v/>
      </c>
      <c r="AE3" s="11">
        <f>EOMONTH(DATE(2026,1,1),AE2-1)</f>
        <v/>
      </c>
      <c r="AF3" s="11">
        <f>EOMONTH(DATE(2026,1,1),AF2-1)</f>
        <v/>
      </c>
      <c r="AG3" s="11">
        <f>EOMONTH(DATE(2026,1,1),AG2-1)</f>
        <v/>
      </c>
      <c r="AH3" s="11">
        <f>EOMONTH(DATE(2026,1,1),AH2-1)</f>
        <v/>
      </c>
      <c r="AI3" s="11">
        <f>EOMONTH(DATE(2026,1,1),AI2-1)</f>
        <v/>
      </c>
      <c r="AJ3" s="11">
        <f>EOMONTH(DATE(2026,1,1),AJ2-1)</f>
        <v/>
      </c>
      <c r="AK3" s="11">
        <f>EOMONTH(DATE(2026,1,1),AK2-1)</f>
        <v/>
      </c>
      <c r="AL3" s="11">
        <f>EOMONTH(DATE(2026,1,1),AL2-1)</f>
        <v/>
      </c>
      <c r="AM3" s="11">
        <f>EOMONTH(DATE(2026,1,1),AM2-1)</f>
        <v/>
      </c>
      <c r="AN3" s="11">
        <f>EOMONTH(DATE(2026,1,1),AN2-1)</f>
        <v/>
      </c>
      <c r="AO3" s="11">
        <f>EOMONTH(DATE(2026,1,1),AO2-1)</f>
        <v/>
      </c>
      <c r="AP3" s="11">
        <f>EOMONTH(DATE(2026,1,1),AP2-1)</f>
        <v/>
      </c>
      <c r="AQ3" s="11">
        <f>EOMONTH(DATE(2026,1,1),AQ2-1)</f>
        <v/>
      </c>
      <c r="AR3" s="11">
        <f>EOMONTH(DATE(2026,1,1),AR2-1)</f>
        <v/>
      </c>
      <c r="AS3" s="11">
        <f>EOMONTH(DATE(2026,1,1),AS2-1)</f>
        <v/>
      </c>
      <c r="AT3" s="11">
        <f>EOMONTH(DATE(2026,1,1),AT2-1)</f>
        <v/>
      </c>
      <c r="AU3" s="11">
        <f>EOMONTH(DATE(2026,1,1),AU2-1)</f>
        <v/>
      </c>
      <c r="AV3" s="11">
        <f>EOMONTH(DATE(2026,1,1),AV2-1)</f>
        <v/>
      </c>
      <c r="AW3" s="11">
        <f>EOMONTH(DATE(2026,1,1),AW2-1)</f>
        <v/>
      </c>
      <c r="AX3" s="11">
        <f>EOMONTH(DATE(2026,1,1),AX2-1)</f>
        <v/>
      </c>
      <c r="AY3" s="11">
        <f>EOMONTH(DATE(2026,1,1),AY2-1)</f>
        <v/>
      </c>
      <c r="AZ3" s="11">
        <f>EOMONTH(DATE(2026,1,1),AZ2-1)</f>
        <v/>
      </c>
      <c r="BA3" s="11">
        <f>EOMONTH(DATE(2026,1,1),BA2-1)</f>
        <v/>
      </c>
      <c r="BB3" s="11">
        <f>EOMONTH(DATE(2026,1,1),BB2-1)</f>
        <v/>
      </c>
      <c r="BC3" s="11">
        <f>EOMONTH(DATE(2026,1,1),BC2-1)</f>
        <v/>
      </c>
      <c r="BD3" s="11">
        <f>EOMONTH(DATE(2026,1,1),BD2-1)</f>
        <v/>
      </c>
      <c r="BE3" s="11">
        <f>EOMONTH(DATE(2026,1,1),BE2-1)</f>
        <v/>
      </c>
      <c r="BF3" s="11">
        <f>EOMONTH(DATE(2026,1,1),BF2-1)</f>
        <v/>
      </c>
      <c r="BG3" s="11">
        <f>EOMONTH(DATE(2026,1,1),BG2-1)</f>
        <v/>
      </c>
      <c r="BH3" s="11">
        <f>EOMONTH(DATE(2026,1,1),BH2-1)</f>
        <v/>
      </c>
      <c r="BI3" s="11">
        <f>EOMONTH(DATE(2026,1,1),BI2-1)</f>
        <v/>
      </c>
      <c r="BJ3" s="11">
        <f>EOMONTH(DATE(2026,1,1),BJ2-1)</f>
        <v/>
      </c>
      <c r="BK3" s="11">
        <f>EOMONTH(DATE(2026,1,1),BK2-1)</f>
        <v/>
      </c>
      <c r="BL3" s="11">
        <f>EOMONTH(DATE(2026,1,1),BL2-1)</f>
        <v/>
      </c>
      <c r="BM3" s="11">
        <f>EOMONTH(DATE(2026,1,1),BM2-1)</f>
        <v/>
      </c>
      <c r="BN3" s="11">
        <f>EOMONTH(DATE(2026,1,1),BN2-1)</f>
        <v/>
      </c>
      <c r="BO3" s="11">
        <f>EOMONTH(DATE(2026,1,1),BO2-1)</f>
        <v/>
      </c>
      <c r="BP3" s="11">
        <f>EOMONTH(DATE(2026,1,1),BP2-1)</f>
        <v/>
      </c>
      <c r="BQ3" s="11">
        <f>EOMONTH(DATE(2026,1,1),BQ2-1)</f>
        <v/>
      </c>
      <c r="BR3" s="11">
        <f>EOMONTH(DATE(2026,1,1),BR2-1)</f>
        <v/>
      </c>
      <c r="BS3" s="11">
        <f>EOMONTH(DATE(2026,1,1),BS2-1)</f>
        <v/>
      </c>
      <c r="BT3" s="11">
        <f>EOMONTH(DATE(2026,1,1),BT2-1)</f>
        <v/>
      </c>
      <c r="BU3" s="11">
        <f>EOMONTH(DATE(2026,1,1),BU2-1)</f>
        <v/>
      </c>
      <c r="BV3" s="11">
        <f>EOMONTH(DATE(2026,1,1),BV2-1)</f>
        <v/>
      </c>
      <c r="BW3" s="11">
        <f>EOMONTH(DATE(2026,1,1),BW2-1)</f>
        <v/>
      </c>
      <c r="BX3" s="11">
        <f>EOMONTH(DATE(2026,1,1),BX2-1)</f>
        <v/>
      </c>
      <c r="BY3" s="11">
        <f>EOMONTH(DATE(2026,1,1),BY2-1)</f>
        <v/>
      </c>
      <c r="BZ3" s="11">
        <f>EOMONTH(DATE(2026,1,1),BZ2-1)</f>
        <v/>
      </c>
      <c r="CA3" s="11">
        <f>EOMONTH(DATE(2026,1,1),CA2-1)</f>
        <v/>
      </c>
      <c r="CB3" s="11">
        <f>EOMONTH(DATE(2026,1,1),CB2-1)</f>
        <v/>
      </c>
      <c r="CC3" s="11">
        <f>EOMONTH(DATE(2026,1,1),CC2-1)</f>
        <v/>
      </c>
      <c r="CD3" s="11">
        <f>EOMONTH(DATE(2026,1,1),CD2-1)</f>
        <v/>
      </c>
      <c r="CE3" s="11">
        <f>EOMONTH(DATE(2026,1,1),CE2-1)</f>
        <v/>
      </c>
      <c r="CF3" s="11">
        <f>EOMONTH(DATE(2026,1,1),CF2-1)</f>
        <v/>
      </c>
      <c r="CG3" s="11">
        <f>EOMONTH(DATE(2026,1,1),CG2-1)</f>
        <v/>
      </c>
      <c r="CH3" s="11">
        <f>EOMONTH(DATE(2026,1,1),CH2-1)</f>
        <v/>
      </c>
    </row>
    <row r="4">
      <c r="A4" s="3" t="inlineStr">
        <is>
          <t>Operating</t>
        </is>
      </c>
      <c r="B4" s="4" t="inlineStr">
        <is>
          <t>1/0</t>
        </is>
      </c>
      <c r="C4" s="10">
        <f>IF(C2&gt;=HOTEL_OPEN_M,1,0)</f>
        <v/>
      </c>
      <c r="D4" s="10">
        <f>IF(D2&gt;=HOTEL_OPEN_M,1,0)</f>
        <v/>
      </c>
      <c r="E4" s="10">
        <f>IF(E2&gt;=HOTEL_OPEN_M,1,0)</f>
        <v/>
      </c>
      <c r="F4" s="10">
        <f>IF(F2&gt;=HOTEL_OPEN_M,1,0)</f>
        <v/>
      </c>
      <c r="G4" s="10">
        <f>IF(G2&gt;=HOTEL_OPEN_M,1,0)</f>
        <v/>
      </c>
      <c r="H4" s="10">
        <f>IF(H2&gt;=HOTEL_OPEN_M,1,0)</f>
        <v/>
      </c>
      <c r="I4" s="10">
        <f>IF(I2&gt;=HOTEL_OPEN_M,1,0)</f>
        <v/>
      </c>
      <c r="J4" s="10">
        <f>IF(J2&gt;=HOTEL_OPEN_M,1,0)</f>
        <v/>
      </c>
      <c r="K4" s="10">
        <f>IF(K2&gt;=HOTEL_OPEN_M,1,0)</f>
        <v/>
      </c>
      <c r="L4" s="10">
        <f>IF(L2&gt;=HOTEL_OPEN_M,1,0)</f>
        <v/>
      </c>
      <c r="M4" s="10">
        <f>IF(M2&gt;=HOTEL_OPEN_M,1,0)</f>
        <v/>
      </c>
      <c r="N4" s="10">
        <f>IF(N2&gt;=HOTEL_OPEN_M,1,0)</f>
        <v/>
      </c>
      <c r="O4" s="10">
        <f>IF(O2&gt;=HOTEL_OPEN_M,1,0)</f>
        <v/>
      </c>
      <c r="P4" s="10">
        <f>IF(P2&gt;=HOTEL_OPEN_M,1,0)</f>
        <v/>
      </c>
      <c r="Q4" s="10">
        <f>IF(Q2&gt;=HOTEL_OPEN_M,1,0)</f>
        <v/>
      </c>
      <c r="R4" s="10">
        <f>IF(R2&gt;=HOTEL_OPEN_M,1,0)</f>
        <v/>
      </c>
      <c r="S4" s="10">
        <f>IF(S2&gt;=HOTEL_OPEN_M,1,0)</f>
        <v/>
      </c>
      <c r="T4" s="10">
        <f>IF(T2&gt;=HOTEL_OPEN_M,1,0)</f>
        <v/>
      </c>
      <c r="U4" s="10">
        <f>IF(U2&gt;=HOTEL_OPEN_M,1,0)</f>
        <v/>
      </c>
      <c r="V4" s="10">
        <f>IF(V2&gt;=HOTEL_OPEN_M,1,0)</f>
        <v/>
      </c>
      <c r="W4" s="10">
        <f>IF(W2&gt;=HOTEL_OPEN_M,1,0)</f>
        <v/>
      </c>
      <c r="X4" s="10">
        <f>IF(X2&gt;=HOTEL_OPEN_M,1,0)</f>
        <v/>
      </c>
      <c r="Y4" s="10">
        <f>IF(Y2&gt;=HOTEL_OPEN_M,1,0)</f>
        <v/>
      </c>
      <c r="Z4" s="10">
        <f>IF(Z2&gt;=HOTEL_OPEN_M,1,0)</f>
        <v/>
      </c>
      <c r="AA4" s="10">
        <f>IF(AA2&gt;=HOTEL_OPEN_M,1,0)</f>
        <v/>
      </c>
      <c r="AB4" s="10">
        <f>IF(AB2&gt;=HOTEL_OPEN_M,1,0)</f>
        <v/>
      </c>
      <c r="AC4" s="10">
        <f>IF(AC2&gt;=HOTEL_OPEN_M,1,0)</f>
        <v/>
      </c>
      <c r="AD4" s="10">
        <f>IF(AD2&gt;=HOTEL_OPEN_M,1,0)</f>
        <v/>
      </c>
      <c r="AE4" s="10">
        <f>IF(AE2&gt;=HOTEL_OPEN_M,1,0)</f>
        <v/>
      </c>
      <c r="AF4" s="10">
        <f>IF(AF2&gt;=HOTEL_OPEN_M,1,0)</f>
        <v/>
      </c>
      <c r="AG4" s="10">
        <f>IF(AG2&gt;=HOTEL_OPEN_M,1,0)</f>
        <v/>
      </c>
      <c r="AH4" s="10">
        <f>IF(AH2&gt;=HOTEL_OPEN_M,1,0)</f>
        <v/>
      </c>
      <c r="AI4" s="10">
        <f>IF(AI2&gt;=HOTEL_OPEN_M,1,0)</f>
        <v/>
      </c>
      <c r="AJ4" s="10">
        <f>IF(AJ2&gt;=HOTEL_OPEN_M,1,0)</f>
        <v/>
      </c>
      <c r="AK4" s="10">
        <f>IF(AK2&gt;=HOTEL_OPEN_M,1,0)</f>
        <v/>
      </c>
      <c r="AL4" s="10">
        <f>IF(AL2&gt;=HOTEL_OPEN_M,1,0)</f>
        <v/>
      </c>
      <c r="AM4" s="10">
        <f>IF(AM2&gt;=HOTEL_OPEN_M,1,0)</f>
        <v/>
      </c>
      <c r="AN4" s="10">
        <f>IF(AN2&gt;=HOTEL_OPEN_M,1,0)</f>
        <v/>
      </c>
      <c r="AO4" s="10">
        <f>IF(AO2&gt;=HOTEL_OPEN_M,1,0)</f>
        <v/>
      </c>
      <c r="AP4" s="10">
        <f>IF(AP2&gt;=HOTEL_OPEN_M,1,0)</f>
        <v/>
      </c>
      <c r="AQ4" s="10">
        <f>IF(AQ2&gt;=HOTEL_OPEN_M,1,0)</f>
        <v/>
      </c>
      <c r="AR4" s="10">
        <f>IF(AR2&gt;=HOTEL_OPEN_M,1,0)</f>
        <v/>
      </c>
      <c r="AS4" s="10">
        <f>IF(AS2&gt;=HOTEL_OPEN_M,1,0)</f>
        <v/>
      </c>
      <c r="AT4" s="10">
        <f>IF(AT2&gt;=HOTEL_OPEN_M,1,0)</f>
        <v/>
      </c>
      <c r="AU4" s="10">
        <f>IF(AU2&gt;=HOTEL_OPEN_M,1,0)</f>
        <v/>
      </c>
      <c r="AV4" s="10">
        <f>IF(AV2&gt;=HOTEL_OPEN_M,1,0)</f>
        <v/>
      </c>
      <c r="AW4" s="10">
        <f>IF(AW2&gt;=HOTEL_OPEN_M,1,0)</f>
        <v/>
      </c>
      <c r="AX4" s="10">
        <f>IF(AX2&gt;=HOTEL_OPEN_M,1,0)</f>
        <v/>
      </c>
      <c r="AY4" s="10">
        <f>IF(AY2&gt;=HOTEL_OPEN_M,1,0)</f>
        <v/>
      </c>
      <c r="AZ4" s="10">
        <f>IF(AZ2&gt;=HOTEL_OPEN_M,1,0)</f>
        <v/>
      </c>
      <c r="BA4" s="10">
        <f>IF(BA2&gt;=HOTEL_OPEN_M,1,0)</f>
        <v/>
      </c>
      <c r="BB4" s="10">
        <f>IF(BB2&gt;=HOTEL_OPEN_M,1,0)</f>
        <v/>
      </c>
      <c r="BC4" s="10">
        <f>IF(BC2&gt;=HOTEL_OPEN_M,1,0)</f>
        <v/>
      </c>
      <c r="BD4" s="10">
        <f>IF(BD2&gt;=HOTEL_OPEN_M,1,0)</f>
        <v/>
      </c>
      <c r="BE4" s="10">
        <f>IF(BE2&gt;=HOTEL_OPEN_M,1,0)</f>
        <v/>
      </c>
      <c r="BF4" s="10">
        <f>IF(BF2&gt;=HOTEL_OPEN_M,1,0)</f>
        <v/>
      </c>
      <c r="BG4" s="10">
        <f>IF(BG2&gt;=HOTEL_OPEN_M,1,0)</f>
        <v/>
      </c>
      <c r="BH4" s="10">
        <f>IF(BH2&gt;=HOTEL_OPEN_M,1,0)</f>
        <v/>
      </c>
      <c r="BI4" s="10">
        <f>IF(BI2&gt;=HOTEL_OPEN_M,1,0)</f>
        <v/>
      </c>
      <c r="BJ4" s="10">
        <f>IF(BJ2&gt;=HOTEL_OPEN_M,1,0)</f>
        <v/>
      </c>
      <c r="BK4" s="10">
        <f>IF(BK2&gt;=HOTEL_OPEN_M,1,0)</f>
        <v/>
      </c>
      <c r="BL4" s="10">
        <f>IF(BL2&gt;=HOTEL_OPEN_M,1,0)</f>
        <v/>
      </c>
      <c r="BM4" s="10">
        <f>IF(BM2&gt;=HOTEL_OPEN_M,1,0)</f>
        <v/>
      </c>
      <c r="BN4" s="10">
        <f>IF(BN2&gt;=HOTEL_OPEN_M,1,0)</f>
        <v/>
      </c>
      <c r="BO4" s="10">
        <f>IF(BO2&gt;=HOTEL_OPEN_M,1,0)</f>
        <v/>
      </c>
      <c r="BP4" s="10">
        <f>IF(BP2&gt;=HOTEL_OPEN_M,1,0)</f>
        <v/>
      </c>
      <c r="BQ4" s="10">
        <f>IF(BQ2&gt;=HOTEL_OPEN_M,1,0)</f>
        <v/>
      </c>
      <c r="BR4" s="10">
        <f>IF(BR2&gt;=HOTEL_OPEN_M,1,0)</f>
        <v/>
      </c>
      <c r="BS4" s="10">
        <f>IF(BS2&gt;=HOTEL_OPEN_M,1,0)</f>
        <v/>
      </c>
      <c r="BT4" s="10">
        <f>IF(BT2&gt;=HOTEL_OPEN_M,1,0)</f>
        <v/>
      </c>
      <c r="BU4" s="10">
        <f>IF(BU2&gt;=HOTEL_OPEN_M,1,0)</f>
        <v/>
      </c>
      <c r="BV4" s="10">
        <f>IF(BV2&gt;=HOTEL_OPEN_M,1,0)</f>
        <v/>
      </c>
      <c r="BW4" s="10">
        <f>IF(BW2&gt;=HOTEL_OPEN_M,1,0)</f>
        <v/>
      </c>
      <c r="BX4" s="10">
        <f>IF(BX2&gt;=HOTEL_OPEN_M,1,0)</f>
        <v/>
      </c>
      <c r="BY4" s="10">
        <f>IF(BY2&gt;=HOTEL_OPEN_M,1,0)</f>
        <v/>
      </c>
      <c r="BZ4" s="10">
        <f>IF(BZ2&gt;=HOTEL_OPEN_M,1,0)</f>
        <v/>
      </c>
      <c r="CA4" s="10">
        <f>IF(CA2&gt;=HOTEL_OPEN_M,1,0)</f>
        <v/>
      </c>
      <c r="CB4" s="10">
        <f>IF(CB2&gt;=HOTEL_OPEN_M,1,0)</f>
        <v/>
      </c>
      <c r="CC4" s="10">
        <f>IF(CC2&gt;=HOTEL_OPEN_M,1,0)</f>
        <v/>
      </c>
      <c r="CD4" s="10">
        <f>IF(CD2&gt;=HOTEL_OPEN_M,1,0)</f>
        <v/>
      </c>
      <c r="CE4" s="10">
        <f>IF(CE2&gt;=HOTEL_OPEN_M,1,0)</f>
        <v/>
      </c>
      <c r="CF4" s="10">
        <f>IF(CF2&gt;=HOTEL_OPEN_M,1,0)</f>
        <v/>
      </c>
      <c r="CG4" s="10">
        <f>IF(CG2&gt;=HOTEL_OPEN_M,1,0)</f>
        <v/>
      </c>
      <c r="CH4" s="10">
        <f>IF(CH2&gt;=HOTEL_OPEN_M,1,0)</f>
        <v/>
      </c>
    </row>
    <row r="5">
      <c r="A5" s="3" t="inlineStr">
        <is>
          <t>Operating year</t>
        </is>
      </c>
      <c r="B5" s="4" t="inlineStr">
        <is>
          <t>year</t>
        </is>
      </c>
      <c r="C5" s="10">
        <f>IF(C4=1,INT((C2-HOTEL_OPEN_M)/12)+1,0)</f>
        <v/>
      </c>
      <c r="D5" s="10">
        <f>IF(D4=1,INT((D2-HOTEL_OPEN_M)/12)+1,0)</f>
        <v/>
      </c>
      <c r="E5" s="10">
        <f>IF(E4=1,INT((E2-HOTEL_OPEN_M)/12)+1,0)</f>
        <v/>
      </c>
      <c r="F5" s="10">
        <f>IF(F4=1,INT((F2-HOTEL_OPEN_M)/12)+1,0)</f>
        <v/>
      </c>
      <c r="G5" s="10">
        <f>IF(G4=1,INT((G2-HOTEL_OPEN_M)/12)+1,0)</f>
        <v/>
      </c>
      <c r="H5" s="10">
        <f>IF(H4=1,INT((H2-HOTEL_OPEN_M)/12)+1,0)</f>
        <v/>
      </c>
      <c r="I5" s="10">
        <f>IF(I4=1,INT((I2-HOTEL_OPEN_M)/12)+1,0)</f>
        <v/>
      </c>
      <c r="J5" s="10">
        <f>IF(J4=1,INT((J2-HOTEL_OPEN_M)/12)+1,0)</f>
        <v/>
      </c>
      <c r="K5" s="10">
        <f>IF(K4=1,INT((K2-HOTEL_OPEN_M)/12)+1,0)</f>
        <v/>
      </c>
      <c r="L5" s="10">
        <f>IF(L4=1,INT((L2-HOTEL_OPEN_M)/12)+1,0)</f>
        <v/>
      </c>
      <c r="M5" s="10">
        <f>IF(M4=1,INT((M2-HOTEL_OPEN_M)/12)+1,0)</f>
        <v/>
      </c>
      <c r="N5" s="10">
        <f>IF(N4=1,INT((N2-HOTEL_OPEN_M)/12)+1,0)</f>
        <v/>
      </c>
      <c r="O5" s="10">
        <f>IF(O4=1,INT((O2-HOTEL_OPEN_M)/12)+1,0)</f>
        <v/>
      </c>
      <c r="P5" s="10">
        <f>IF(P4=1,INT((P2-HOTEL_OPEN_M)/12)+1,0)</f>
        <v/>
      </c>
      <c r="Q5" s="10">
        <f>IF(Q4=1,INT((Q2-HOTEL_OPEN_M)/12)+1,0)</f>
        <v/>
      </c>
      <c r="R5" s="10">
        <f>IF(R4=1,INT((R2-HOTEL_OPEN_M)/12)+1,0)</f>
        <v/>
      </c>
      <c r="S5" s="10">
        <f>IF(S4=1,INT((S2-HOTEL_OPEN_M)/12)+1,0)</f>
        <v/>
      </c>
      <c r="T5" s="10">
        <f>IF(T4=1,INT((T2-HOTEL_OPEN_M)/12)+1,0)</f>
        <v/>
      </c>
      <c r="U5" s="10">
        <f>IF(U4=1,INT((U2-HOTEL_OPEN_M)/12)+1,0)</f>
        <v/>
      </c>
      <c r="V5" s="10">
        <f>IF(V4=1,INT((V2-HOTEL_OPEN_M)/12)+1,0)</f>
        <v/>
      </c>
      <c r="W5" s="10">
        <f>IF(W4=1,INT((W2-HOTEL_OPEN_M)/12)+1,0)</f>
        <v/>
      </c>
      <c r="X5" s="10">
        <f>IF(X4=1,INT((X2-HOTEL_OPEN_M)/12)+1,0)</f>
        <v/>
      </c>
      <c r="Y5" s="10">
        <f>IF(Y4=1,INT((Y2-HOTEL_OPEN_M)/12)+1,0)</f>
        <v/>
      </c>
      <c r="Z5" s="10">
        <f>IF(Z4=1,INT((Z2-HOTEL_OPEN_M)/12)+1,0)</f>
        <v/>
      </c>
      <c r="AA5" s="10">
        <f>IF(AA4=1,INT((AA2-HOTEL_OPEN_M)/12)+1,0)</f>
        <v/>
      </c>
      <c r="AB5" s="10">
        <f>IF(AB4=1,INT((AB2-HOTEL_OPEN_M)/12)+1,0)</f>
        <v/>
      </c>
      <c r="AC5" s="10">
        <f>IF(AC4=1,INT((AC2-HOTEL_OPEN_M)/12)+1,0)</f>
        <v/>
      </c>
      <c r="AD5" s="10">
        <f>IF(AD4=1,INT((AD2-HOTEL_OPEN_M)/12)+1,0)</f>
        <v/>
      </c>
      <c r="AE5" s="10">
        <f>IF(AE4=1,INT((AE2-HOTEL_OPEN_M)/12)+1,0)</f>
        <v/>
      </c>
      <c r="AF5" s="10">
        <f>IF(AF4=1,INT((AF2-HOTEL_OPEN_M)/12)+1,0)</f>
        <v/>
      </c>
      <c r="AG5" s="10">
        <f>IF(AG4=1,INT((AG2-HOTEL_OPEN_M)/12)+1,0)</f>
        <v/>
      </c>
      <c r="AH5" s="10">
        <f>IF(AH4=1,INT((AH2-HOTEL_OPEN_M)/12)+1,0)</f>
        <v/>
      </c>
      <c r="AI5" s="10">
        <f>IF(AI4=1,INT((AI2-HOTEL_OPEN_M)/12)+1,0)</f>
        <v/>
      </c>
      <c r="AJ5" s="10">
        <f>IF(AJ4=1,INT((AJ2-HOTEL_OPEN_M)/12)+1,0)</f>
        <v/>
      </c>
      <c r="AK5" s="10">
        <f>IF(AK4=1,INT((AK2-HOTEL_OPEN_M)/12)+1,0)</f>
        <v/>
      </c>
      <c r="AL5" s="10">
        <f>IF(AL4=1,INT((AL2-HOTEL_OPEN_M)/12)+1,0)</f>
        <v/>
      </c>
      <c r="AM5" s="10">
        <f>IF(AM4=1,INT((AM2-HOTEL_OPEN_M)/12)+1,0)</f>
        <v/>
      </c>
      <c r="AN5" s="10">
        <f>IF(AN4=1,INT((AN2-HOTEL_OPEN_M)/12)+1,0)</f>
        <v/>
      </c>
      <c r="AO5" s="10">
        <f>IF(AO4=1,INT((AO2-HOTEL_OPEN_M)/12)+1,0)</f>
        <v/>
      </c>
      <c r="AP5" s="10">
        <f>IF(AP4=1,INT((AP2-HOTEL_OPEN_M)/12)+1,0)</f>
        <v/>
      </c>
      <c r="AQ5" s="10">
        <f>IF(AQ4=1,INT((AQ2-HOTEL_OPEN_M)/12)+1,0)</f>
        <v/>
      </c>
      <c r="AR5" s="10">
        <f>IF(AR4=1,INT((AR2-HOTEL_OPEN_M)/12)+1,0)</f>
        <v/>
      </c>
      <c r="AS5" s="10">
        <f>IF(AS4=1,INT((AS2-HOTEL_OPEN_M)/12)+1,0)</f>
        <v/>
      </c>
      <c r="AT5" s="10">
        <f>IF(AT4=1,INT((AT2-HOTEL_OPEN_M)/12)+1,0)</f>
        <v/>
      </c>
      <c r="AU5" s="10">
        <f>IF(AU4=1,INT((AU2-HOTEL_OPEN_M)/12)+1,0)</f>
        <v/>
      </c>
      <c r="AV5" s="10">
        <f>IF(AV4=1,INT((AV2-HOTEL_OPEN_M)/12)+1,0)</f>
        <v/>
      </c>
      <c r="AW5" s="10">
        <f>IF(AW4=1,INT((AW2-HOTEL_OPEN_M)/12)+1,0)</f>
        <v/>
      </c>
      <c r="AX5" s="10">
        <f>IF(AX4=1,INT((AX2-HOTEL_OPEN_M)/12)+1,0)</f>
        <v/>
      </c>
      <c r="AY5" s="10">
        <f>IF(AY4=1,INT((AY2-HOTEL_OPEN_M)/12)+1,0)</f>
        <v/>
      </c>
      <c r="AZ5" s="10">
        <f>IF(AZ4=1,INT((AZ2-HOTEL_OPEN_M)/12)+1,0)</f>
        <v/>
      </c>
      <c r="BA5" s="10">
        <f>IF(BA4=1,INT((BA2-HOTEL_OPEN_M)/12)+1,0)</f>
        <v/>
      </c>
      <c r="BB5" s="10">
        <f>IF(BB4=1,INT((BB2-HOTEL_OPEN_M)/12)+1,0)</f>
        <v/>
      </c>
      <c r="BC5" s="10">
        <f>IF(BC4=1,INT((BC2-HOTEL_OPEN_M)/12)+1,0)</f>
        <v/>
      </c>
      <c r="BD5" s="10">
        <f>IF(BD4=1,INT((BD2-HOTEL_OPEN_M)/12)+1,0)</f>
        <v/>
      </c>
      <c r="BE5" s="10">
        <f>IF(BE4=1,INT((BE2-HOTEL_OPEN_M)/12)+1,0)</f>
        <v/>
      </c>
      <c r="BF5" s="10">
        <f>IF(BF4=1,INT((BF2-HOTEL_OPEN_M)/12)+1,0)</f>
        <v/>
      </c>
      <c r="BG5" s="10">
        <f>IF(BG4=1,INT((BG2-HOTEL_OPEN_M)/12)+1,0)</f>
        <v/>
      </c>
      <c r="BH5" s="10">
        <f>IF(BH4=1,INT((BH2-HOTEL_OPEN_M)/12)+1,0)</f>
        <v/>
      </c>
      <c r="BI5" s="10">
        <f>IF(BI4=1,INT((BI2-HOTEL_OPEN_M)/12)+1,0)</f>
        <v/>
      </c>
      <c r="BJ5" s="10">
        <f>IF(BJ4=1,INT((BJ2-HOTEL_OPEN_M)/12)+1,0)</f>
        <v/>
      </c>
      <c r="BK5" s="10">
        <f>IF(BK4=1,INT((BK2-HOTEL_OPEN_M)/12)+1,0)</f>
        <v/>
      </c>
      <c r="BL5" s="10">
        <f>IF(BL4=1,INT((BL2-HOTEL_OPEN_M)/12)+1,0)</f>
        <v/>
      </c>
      <c r="BM5" s="10">
        <f>IF(BM4=1,INT((BM2-HOTEL_OPEN_M)/12)+1,0)</f>
        <v/>
      </c>
      <c r="BN5" s="10">
        <f>IF(BN4=1,INT((BN2-HOTEL_OPEN_M)/12)+1,0)</f>
        <v/>
      </c>
      <c r="BO5" s="10">
        <f>IF(BO4=1,INT((BO2-HOTEL_OPEN_M)/12)+1,0)</f>
        <v/>
      </c>
      <c r="BP5" s="10">
        <f>IF(BP4=1,INT((BP2-HOTEL_OPEN_M)/12)+1,0)</f>
        <v/>
      </c>
      <c r="BQ5" s="10">
        <f>IF(BQ4=1,INT((BQ2-HOTEL_OPEN_M)/12)+1,0)</f>
        <v/>
      </c>
      <c r="BR5" s="10">
        <f>IF(BR4=1,INT((BR2-HOTEL_OPEN_M)/12)+1,0)</f>
        <v/>
      </c>
      <c r="BS5" s="10">
        <f>IF(BS4=1,INT((BS2-HOTEL_OPEN_M)/12)+1,0)</f>
        <v/>
      </c>
      <c r="BT5" s="10">
        <f>IF(BT4=1,INT((BT2-HOTEL_OPEN_M)/12)+1,0)</f>
        <v/>
      </c>
      <c r="BU5" s="10">
        <f>IF(BU4=1,INT((BU2-HOTEL_OPEN_M)/12)+1,0)</f>
        <v/>
      </c>
      <c r="BV5" s="10">
        <f>IF(BV4=1,INT((BV2-HOTEL_OPEN_M)/12)+1,0)</f>
        <v/>
      </c>
      <c r="BW5" s="10">
        <f>IF(BW4=1,INT((BW2-HOTEL_OPEN_M)/12)+1,0)</f>
        <v/>
      </c>
      <c r="BX5" s="10">
        <f>IF(BX4=1,INT((BX2-HOTEL_OPEN_M)/12)+1,0)</f>
        <v/>
      </c>
      <c r="BY5" s="10">
        <f>IF(BY4=1,INT((BY2-HOTEL_OPEN_M)/12)+1,0)</f>
        <v/>
      </c>
      <c r="BZ5" s="10">
        <f>IF(BZ4=1,INT((BZ2-HOTEL_OPEN_M)/12)+1,0)</f>
        <v/>
      </c>
      <c r="CA5" s="10">
        <f>IF(CA4=1,INT((CA2-HOTEL_OPEN_M)/12)+1,0)</f>
        <v/>
      </c>
      <c r="CB5" s="10">
        <f>IF(CB4=1,INT((CB2-HOTEL_OPEN_M)/12)+1,0)</f>
        <v/>
      </c>
      <c r="CC5" s="10">
        <f>IF(CC4=1,INT((CC2-HOTEL_OPEN_M)/12)+1,0)</f>
        <v/>
      </c>
      <c r="CD5" s="10">
        <f>IF(CD4=1,INT((CD2-HOTEL_OPEN_M)/12)+1,0)</f>
        <v/>
      </c>
      <c r="CE5" s="10">
        <f>IF(CE4=1,INT((CE2-HOTEL_OPEN_M)/12)+1,0)</f>
        <v/>
      </c>
      <c r="CF5" s="10">
        <f>IF(CF4=1,INT((CF2-HOTEL_OPEN_M)/12)+1,0)</f>
        <v/>
      </c>
      <c r="CG5" s="10">
        <f>IF(CG4=1,INT((CG2-HOTEL_OPEN_M)/12)+1,0)</f>
        <v/>
      </c>
      <c r="CH5" s="10">
        <f>IF(CH4=1,INT((CH2-HOTEL_OPEN_M)/12)+1,0)</f>
        <v/>
      </c>
    </row>
    <row r="6">
      <c r="A6" s="3" t="inlineStr">
        <is>
          <t>ADR</t>
        </is>
      </c>
      <c r="B6" s="4" t="inlineStr">
        <is>
          <t>$</t>
        </is>
      </c>
      <c r="C6" s="12">
        <f>IF(C4=1,ADR_Y1*(1+ADR_GROWTH_PCT)^(C5-1),0)</f>
        <v/>
      </c>
      <c r="D6" s="12">
        <f>IF(D4=1,ADR_Y1*(1+ADR_GROWTH_PCT)^(D5-1),0)</f>
        <v/>
      </c>
      <c r="E6" s="12">
        <f>IF(E4=1,ADR_Y1*(1+ADR_GROWTH_PCT)^(E5-1),0)</f>
        <v/>
      </c>
      <c r="F6" s="12">
        <f>IF(F4=1,ADR_Y1*(1+ADR_GROWTH_PCT)^(F5-1),0)</f>
        <v/>
      </c>
      <c r="G6" s="12">
        <f>IF(G4=1,ADR_Y1*(1+ADR_GROWTH_PCT)^(G5-1),0)</f>
        <v/>
      </c>
      <c r="H6" s="12">
        <f>IF(H4=1,ADR_Y1*(1+ADR_GROWTH_PCT)^(H5-1),0)</f>
        <v/>
      </c>
      <c r="I6" s="12">
        <f>IF(I4=1,ADR_Y1*(1+ADR_GROWTH_PCT)^(I5-1),0)</f>
        <v/>
      </c>
      <c r="J6" s="12">
        <f>IF(J4=1,ADR_Y1*(1+ADR_GROWTH_PCT)^(J5-1),0)</f>
        <v/>
      </c>
      <c r="K6" s="12">
        <f>IF(K4=1,ADR_Y1*(1+ADR_GROWTH_PCT)^(K5-1),0)</f>
        <v/>
      </c>
      <c r="L6" s="12">
        <f>IF(L4=1,ADR_Y1*(1+ADR_GROWTH_PCT)^(L5-1),0)</f>
        <v/>
      </c>
      <c r="M6" s="12">
        <f>IF(M4=1,ADR_Y1*(1+ADR_GROWTH_PCT)^(M5-1),0)</f>
        <v/>
      </c>
      <c r="N6" s="12">
        <f>IF(N4=1,ADR_Y1*(1+ADR_GROWTH_PCT)^(N5-1),0)</f>
        <v/>
      </c>
      <c r="O6" s="12">
        <f>IF(O4=1,ADR_Y1*(1+ADR_GROWTH_PCT)^(O5-1),0)</f>
        <v/>
      </c>
      <c r="P6" s="12">
        <f>IF(P4=1,ADR_Y1*(1+ADR_GROWTH_PCT)^(P5-1),0)</f>
        <v/>
      </c>
      <c r="Q6" s="12">
        <f>IF(Q4=1,ADR_Y1*(1+ADR_GROWTH_PCT)^(Q5-1),0)</f>
        <v/>
      </c>
      <c r="R6" s="12">
        <f>IF(R4=1,ADR_Y1*(1+ADR_GROWTH_PCT)^(R5-1),0)</f>
        <v/>
      </c>
      <c r="S6" s="12">
        <f>IF(S4=1,ADR_Y1*(1+ADR_GROWTH_PCT)^(S5-1),0)</f>
        <v/>
      </c>
      <c r="T6" s="12">
        <f>IF(T4=1,ADR_Y1*(1+ADR_GROWTH_PCT)^(T5-1),0)</f>
        <v/>
      </c>
      <c r="U6" s="12">
        <f>IF(U4=1,ADR_Y1*(1+ADR_GROWTH_PCT)^(U5-1),0)</f>
        <v/>
      </c>
      <c r="V6" s="12">
        <f>IF(V4=1,ADR_Y1*(1+ADR_GROWTH_PCT)^(V5-1),0)</f>
        <v/>
      </c>
      <c r="W6" s="12">
        <f>IF(W4=1,ADR_Y1*(1+ADR_GROWTH_PCT)^(W5-1),0)</f>
        <v/>
      </c>
      <c r="X6" s="12">
        <f>IF(X4=1,ADR_Y1*(1+ADR_GROWTH_PCT)^(X5-1),0)</f>
        <v/>
      </c>
      <c r="Y6" s="12">
        <f>IF(Y4=1,ADR_Y1*(1+ADR_GROWTH_PCT)^(Y5-1),0)</f>
        <v/>
      </c>
      <c r="Z6" s="12">
        <f>IF(Z4=1,ADR_Y1*(1+ADR_GROWTH_PCT)^(Z5-1),0)</f>
        <v/>
      </c>
      <c r="AA6" s="12">
        <f>IF(AA4=1,ADR_Y1*(1+ADR_GROWTH_PCT)^(AA5-1),0)</f>
        <v/>
      </c>
      <c r="AB6" s="12">
        <f>IF(AB4=1,ADR_Y1*(1+ADR_GROWTH_PCT)^(AB5-1),0)</f>
        <v/>
      </c>
      <c r="AC6" s="12">
        <f>IF(AC4=1,ADR_Y1*(1+ADR_GROWTH_PCT)^(AC5-1),0)</f>
        <v/>
      </c>
      <c r="AD6" s="12">
        <f>IF(AD4=1,ADR_Y1*(1+ADR_GROWTH_PCT)^(AD5-1),0)</f>
        <v/>
      </c>
      <c r="AE6" s="12">
        <f>IF(AE4=1,ADR_Y1*(1+ADR_GROWTH_PCT)^(AE5-1),0)</f>
        <v/>
      </c>
      <c r="AF6" s="12">
        <f>IF(AF4=1,ADR_Y1*(1+ADR_GROWTH_PCT)^(AF5-1),0)</f>
        <v/>
      </c>
      <c r="AG6" s="12">
        <f>IF(AG4=1,ADR_Y1*(1+ADR_GROWTH_PCT)^(AG5-1),0)</f>
        <v/>
      </c>
      <c r="AH6" s="12">
        <f>IF(AH4=1,ADR_Y1*(1+ADR_GROWTH_PCT)^(AH5-1),0)</f>
        <v/>
      </c>
      <c r="AI6" s="12">
        <f>IF(AI4=1,ADR_Y1*(1+ADR_GROWTH_PCT)^(AI5-1),0)</f>
        <v/>
      </c>
      <c r="AJ6" s="12">
        <f>IF(AJ4=1,ADR_Y1*(1+ADR_GROWTH_PCT)^(AJ5-1),0)</f>
        <v/>
      </c>
      <c r="AK6" s="12">
        <f>IF(AK4=1,ADR_Y1*(1+ADR_GROWTH_PCT)^(AK5-1),0)</f>
        <v/>
      </c>
      <c r="AL6" s="12">
        <f>IF(AL4=1,ADR_Y1*(1+ADR_GROWTH_PCT)^(AL5-1),0)</f>
        <v/>
      </c>
      <c r="AM6" s="12">
        <f>IF(AM4=1,ADR_Y1*(1+ADR_GROWTH_PCT)^(AM5-1),0)</f>
        <v/>
      </c>
      <c r="AN6" s="12">
        <f>IF(AN4=1,ADR_Y1*(1+ADR_GROWTH_PCT)^(AN5-1),0)</f>
        <v/>
      </c>
      <c r="AO6" s="12">
        <f>IF(AO4=1,ADR_Y1*(1+ADR_GROWTH_PCT)^(AO5-1),0)</f>
        <v/>
      </c>
      <c r="AP6" s="12">
        <f>IF(AP4=1,ADR_Y1*(1+ADR_GROWTH_PCT)^(AP5-1),0)</f>
        <v/>
      </c>
      <c r="AQ6" s="12">
        <f>IF(AQ4=1,ADR_Y1*(1+ADR_GROWTH_PCT)^(AQ5-1),0)</f>
        <v/>
      </c>
      <c r="AR6" s="12">
        <f>IF(AR4=1,ADR_Y1*(1+ADR_GROWTH_PCT)^(AR5-1),0)</f>
        <v/>
      </c>
      <c r="AS6" s="12">
        <f>IF(AS4=1,ADR_Y1*(1+ADR_GROWTH_PCT)^(AS5-1),0)</f>
        <v/>
      </c>
      <c r="AT6" s="12">
        <f>IF(AT4=1,ADR_Y1*(1+ADR_GROWTH_PCT)^(AT5-1),0)</f>
        <v/>
      </c>
      <c r="AU6" s="12">
        <f>IF(AU4=1,ADR_Y1*(1+ADR_GROWTH_PCT)^(AU5-1),0)</f>
        <v/>
      </c>
      <c r="AV6" s="12">
        <f>IF(AV4=1,ADR_Y1*(1+ADR_GROWTH_PCT)^(AV5-1),0)</f>
        <v/>
      </c>
      <c r="AW6" s="12">
        <f>IF(AW4=1,ADR_Y1*(1+ADR_GROWTH_PCT)^(AW5-1),0)</f>
        <v/>
      </c>
      <c r="AX6" s="12">
        <f>IF(AX4=1,ADR_Y1*(1+ADR_GROWTH_PCT)^(AX5-1),0)</f>
        <v/>
      </c>
      <c r="AY6" s="12">
        <f>IF(AY4=1,ADR_Y1*(1+ADR_GROWTH_PCT)^(AY5-1),0)</f>
        <v/>
      </c>
      <c r="AZ6" s="12">
        <f>IF(AZ4=1,ADR_Y1*(1+ADR_GROWTH_PCT)^(AZ5-1),0)</f>
        <v/>
      </c>
      <c r="BA6" s="12">
        <f>IF(BA4=1,ADR_Y1*(1+ADR_GROWTH_PCT)^(BA5-1),0)</f>
        <v/>
      </c>
      <c r="BB6" s="12">
        <f>IF(BB4=1,ADR_Y1*(1+ADR_GROWTH_PCT)^(BB5-1),0)</f>
        <v/>
      </c>
      <c r="BC6" s="12">
        <f>IF(BC4=1,ADR_Y1*(1+ADR_GROWTH_PCT)^(BC5-1),0)</f>
        <v/>
      </c>
      <c r="BD6" s="12">
        <f>IF(BD4=1,ADR_Y1*(1+ADR_GROWTH_PCT)^(BD5-1),0)</f>
        <v/>
      </c>
      <c r="BE6" s="12">
        <f>IF(BE4=1,ADR_Y1*(1+ADR_GROWTH_PCT)^(BE5-1),0)</f>
        <v/>
      </c>
      <c r="BF6" s="12">
        <f>IF(BF4=1,ADR_Y1*(1+ADR_GROWTH_PCT)^(BF5-1),0)</f>
        <v/>
      </c>
      <c r="BG6" s="12">
        <f>IF(BG4=1,ADR_Y1*(1+ADR_GROWTH_PCT)^(BG5-1),0)</f>
        <v/>
      </c>
      <c r="BH6" s="12">
        <f>IF(BH4=1,ADR_Y1*(1+ADR_GROWTH_PCT)^(BH5-1),0)</f>
        <v/>
      </c>
      <c r="BI6" s="12">
        <f>IF(BI4=1,ADR_Y1*(1+ADR_GROWTH_PCT)^(BI5-1),0)</f>
        <v/>
      </c>
      <c r="BJ6" s="12">
        <f>IF(BJ4=1,ADR_Y1*(1+ADR_GROWTH_PCT)^(BJ5-1),0)</f>
        <v/>
      </c>
      <c r="BK6" s="12">
        <f>IF(BK4=1,ADR_Y1*(1+ADR_GROWTH_PCT)^(BK5-1),0)</f>
        <v/>
      </c>
      <c r="BL6" s="12">
        <f>IF(BL4=1,ADR_Y1*(1+ADR_GROWTH_PCT)^(BL5-1),0)</f>
        <v/>
      </c>
      <c r="BM6" s="12">
        <f>IF(BM4=1,ADR_Y1*(1+ADR_GROWTH_PCT)^(BM5-1),0)</f>
        <v/>
      </c>
      <c r="BN6" s="12">
        <f>IF(BN4=1,ADR_Y1*(1+ADR_GROWTH_PCT)^(BN5-1),0)</f>
        <v/>
      </c>
      <c r="BO6" s="12">
        <f>IF(BO4=1,ADR_Y1*(1+ADR_GROWTH_PCT)^(BO5-1),0)</f>
        <v/>
      </c>
      <c r="BP6" s="12">
        <f>IF(BP4=1,ADR_Y1*(1+ADR_GROWTH_PCT)^(BP5-1),0)</f>
        <v/>
      </c>
      <c r="BQ6" s="12">
        <f>IF(BQ4=1,ADR_Y1*(1+ADR_GROWTH_PCT)^(BQ5-1),0)</f>
        <v/>
      </c>
      <c r="BR6" s="12">
        <f>IF(BR4=1,ADR_Y1*(1+ADR_GROWTH_PCT)^(BR5-1),0)</f>
        <v/>
      </c>
      <c r="BS6" s="12">
        <f>IF(BS4=1,ADR_Y1*(1+ADR_GROWTH_PCT)^(BS5-1),0)</f>
        <v/>
      </c>
      <c r="BT6" s="12">
        <f>IF(BT4=1,ADR_Y1*(1+ADR_GROWTH_PCT)^(BT5-1),0)</f>
        <v/>
      </c>
      <c r="BU6" s="12">
        <f>IF(BU4=1,ADR_Y1*(1+ADR_GROWTH_PCT)^(BU5-1),0)</f>
        <v/>
      </c>
      <c r="BV6" s="12">
        <f>IF(BV4=1,ADR_Y1*(1+ADR_GROWTH_PCT)^(BV5-1),0)</f>
        <v/>
      </c>
      <c r="BW6" s="12">
        <f>IF(BW4=1,ADR_Y1*(1+ADR_GROWTH_PCT)^(BW5-1),0)</f>
        <v/>
      </c>
      <c r="BX6" s="12">
        <f>IF(BX4=1,ADR_Y1*(1+ADR_GROWTH_PCT)^(BX5-1),0)</f>
        <v/>
      </c>
      <c r="BY6" s="12">
        <f>IF(BY4=1,ADR_Y1*(1+ADR_GROWTH_PCT)^(BY5-1),0)</f>
        <v/>
      </c>
      <c r="BZ6" s="12">
        <f>IF(BZ4=1,ADR_Y1*(1+ADR_GROWTH_PCT)^(BZ5-1),0)</f>
        <v/>
      </c>
      <c r="CA6" s="12">
        <f>IF(CA4=1,ADR_Y1*(1+ADR_GROWTH_PCT)^(CA5-1),0)</f>
        <v/>
      </c>
      <c r="CB6" s="12">
        <f>IF(CB4=1,ADR_Y1*(1+ADR_GROWTH_PCT)^(CB5-1),0)</f>
        <v/>
      </c>
      <c r="CC6" s="12">
        <f>IF(CC4=1,ADR_Y1*(1+ADR_GROWTH_PCT)^(CC5-1),0)</f>
        <v/>
      </c>
      <c r="CD6" s="12">
        <f>IF(CD4=1,ADR_Y1*(1+ADR_GROWTH_PCT)^(CD5-1),0)</f>
        <v/>
      </c>
      <c r="CE6" s="12">
        <f>IF(CE4=1,ADR_Y1*(1+ADR_GROWTH_PCT)^(CE5-1),0)</f>
        <v/>
      </c>
      <c r="CF6" s="12">
        <f>IF(CF4=1,ADR_Y1*(1+ADR_GROWTH_PCT)^(CF5-1),0)</f>
        <v/>
      </c>
      <c r="CG6" s="12">
        <f>IF(CG4=1,ADR_Y1*(1+ADR_GROWTH_PCT)^(CG5-1),0)</f>
        <v/>
      </c>
      <c r="CH6" s="12">
        <f>IF(CH4=1,ADR_Y1*(1+ADR_GROWTH_PCT)^(CH5-1),0)</f>
        <v/>
      </c>
    </row>
    <row r="7">
      <c r="A7" s="3" t="inlineStr">
        <is>
          <t>Occupancy</t>
        </is>
      </c>
      <c r="B7" s="4" t="inlineStr">
        <is>
          <t>%</t>
        </is>
      </c>
      <c r="C7" s="13">
        <f>IF(C4=1,IF(C5&lt;=1,OCC_Y1,IF(C5=2,OCC_Y2,OCC_STAB)),0)</f>
        <v/>
      </c>
      <c r="D7" s="13">
        <f>IF(D4=1,IF(D5&lt;=1,OCC_Y1,IF(D5=2,OCC_Y2,OCC_STAB)),0)</f>
        <v/>
      </c>
      <c r="E7" s="13">
        <f>IF(E4=1,IF(E5&lt;=1,OCC_Y1,IF(E5=2,OCC_Y2,OCC_STAB)),0)</f>
        <v/>
      </c>
      <c r="F7" s="13">
        <f>IF(F4=1,IF(F5&lt;=1,OCC_Y1,IF(F5=2,OCC_Y2,OCC_STAB)),0)</f>
        <v/>
      </c>
      <c r="G7" s="13">
        <f>IF(G4=1,IF(G5&lt;=1,OCC_Y1,IF(G5=2,OCC_Y2,OCC_STAB)),0)</f>
        <v/>
      </c>
      <c r="H7" s="13">
        <f>IF(H4=1,IF(H5&lt;=1,OCC_Y1,IF(H5=2,OCC_Y2,OCC_STAB)),0)</f>
        <v/>
      </c>
      <c r="I7" s="13">
        <f>IF(I4=1,IF(I5&lt;=1,OCC_Y1,IF(I5=2,OCC_Y2,OCC_STAB)),0)</f>
        <v/>
      </c>
      <c r="J7" s="13">
        <f>IF(J4=1,IF(J5&lt;=1,OCC_Y1,IF(J5=2,OCC_Y2,OCC_STAB)),0)</f>
        <v/>
      </c>
      <c r="K7" s="13">
        <f>IF(K4=1,IF(K5&lt;=1,OCC_Y1,IF(K5=2,OCC_Y2,OCC_STAB)),0)</f>
        <v/>
      </c>
      <c r="L7" s="13">
        <f>IF(L4=1,IF(L5&lt;=1,OCC_Y1,IF(L5=2,OCC_Y2,OCC_STAB)),0)</f>
        <v/>
      </c>
      <c r="M7" s="13">
        <f>IF(M4=1,IF(M5&lt;=1,OCC_Y1,IF(M5=2,OCC_Y2,OCC_STAB)),0)</f>
        <v/>
      </c>
      <c r="N7" s="13">
        <f>IF(N4=1,IF(N5&lt;=1,OCC_Y1,IF(N5=2,OCC_Y2,OCC_STAB)),0)</f>
        <v/>
      </c>
      <c r="O7" s="13">
        <f>IF(O4=1,IF(O5&lt;=1,OCC_Y1,IF(O5=2,OCC_Y2,OCC_STAB)),0)</f>
        <v/>
      </c>
      <c r="P7" s="13">
        <f>IF(P4=1,IF(P5&lt;=1,OCC_Y1,IF(P5=2,OCC_Y2,OCC_STAB)),0)</f>
        <v/>
      </c>
      <c r="Q7" s="13">
        <f>IF(Q4=1,IF(Q5&lt;=1,OCC_Y1,IF(Q5=2,OCC_Y2,OCC_STAB)),0)</f>
        <v/>
      </c>
      <c r="R7" s="13">
        <f>IF(R4=1,IF(R5&lt;=1,OCC_Y1,IF(R5=2,OCC_Y2,OCC_STAB)),0)</f>
        <v/>
      </c>
      <c r="S7" s="13">
        <f>IF(S4=1,IF(S5&lt;=1,OCC_Y1,IF(S5=2,OCC_Y2,OCC_STAB)),0)</f>
        <v/>
      </c>
      <c r="T7" s="13">
        <f>IF(T4=1,IF(T5&lt;=1,OCC_Y1,IF(T5=2,OCC_Y2,OCC_STAB)),0)</f>
        <v/>
      </c>
      <c r="U7" s="13">
        <f>IF(U4=1,IF(U5&lt;=1,OCC_Y1,IF(U5=2,OCC_Y2,OCC_STAB)),0)</f>
        <v/>
      </c>
      <c r="V7" s="13">
        <f>IF(V4=1,IF(V5&lt;=1,OCC_Y1,IF(V5=2,OCC_Y2,OCC_STAB)),0)</f>
        <v/>
      </c>
      <c r="W7" s="13">
        <f>IF(W4=1,IF(W5&lt;=1,OCC_Y1,IF(W5=2,OCC_Y2,OCC_STAB)),0)</f>
        <v/>
      </c>
      <c r="X7" s="13">
        <f>IF(X4=1,IF(X5&lt;=1,OCC_Y1,IF(X5=2,OCC_Y2,OCC_STAB)),0)</f>
        <v/>
      </c>
      <c r="Y7" s="13">
        <f>IF(Y4=1,IF(Y5&lt;=1,OCC_Y1,IF(Y5=2,OCC_Y2,OCC_STAB)),0)</f>
        <v/>
      </c>
      <c r="Z7" s="13">
        <f>IF(Z4=1,IF(Z5&lt;=1,OCC_Y1,IF(Z5=2,OCC_Y2,OCC_STAB)),0)</f>
        <v/>
      </c>
      <c r="AA7" s="13">
        <f>IF(AA4=1,IF(AA5&lt;=1,OCC_Y1,IF(AA5=2,OCC_Y2,OCC_STAB)),0)</f>
        <v/>
      </c>
      <c r="AB7" s="13">
        <f>IF(AB4=1,IF(AB5&lt;=1,OCC_Y1,IF(AB5=2,OCC_Y2,OCC_STAB)),0)</f>
        <v/>
      </c>
      <c r="AC7" s="13">
        <f>IF(AC4=1,IF(AC5&lt;=1,OCC_Y1,IF(AC5=2,OCC_Y2,OCC_STAB)),0)</f>
        <v/>
      </c>
      <c r="AD7" s="13">
        <f>IF(AD4=1,IF(AD5&lt;=1,OCC_Y1,IF(AD5=2,OCC_Y2,OCC_STAB)),0)</f>
        <v/>
      </c>
      <c r="AE7" s="13">
        <f>IF(AE4=1,IF(AE5&lt;=1,OCC_Y1,IF(AE5=2,OCC_Y2,OCC_STAB)),0)</f>
        <v/>
      </c>
      <c r="AF7" s="13">
        <f>IF(AF4=1,IF(AF5&lt;=1,OCC_Y1,IF(AF5=2,OCC_Y2,OCC_STAB)),0)</f>
        <v/>
      </c>
      <c r="AG7" s="13">
        <f>IF(AG4=1,IF(AG5&lt;=1,OCC_Y1,IF(AG5=2,OCC_Y2,OCC_STAB)),0)</f>
        <v/>
      </c>
      <c r="AH7" s="13">
        <f>IF(AH4=1,IF(AH5&lt;=1,OCC_Y1,IF(AH5=2,OCC_Y2,OCC_STAB)),0)</f>
        <v/>
      </c>
      <c r="AI7" s="13">
        <f>IF(AI4=1,IF(AI5&lt;=1,OCC_Y1,IF(AI5=2,OCC_Y2,OCC_STAB)),0)</f>
        <v/>
      </c>
      <c r="AJ7" s="13">
        <f>IF(AJ4=1,IF(AJ5&lt;=1,OCC_Y1,IF(AJ5=2,OCC_Y2,OCC_STAB)),0)</f>
        <v/>
      </c>
      <c r="AK7" s="13">
        <f>IF(AK4=1,IF(AK5&lt;=1,OCC_Y1,IF(AK5=2,OCC_Y2,OCC_STAB)),0)</f>
        <v/>
      </c>
      <c r="AL7" s="13">
        <f>IF(AL4=1,IF(AL5&lt;=1,OCC_Y1,IF(AL5=2,OCC_Y2,OCC_STAB)),0)</f>
        <v/>
      </c>
      <c r="AM7" s="13">
        <f>IF(AM4=1,IF(AM5&lt;=1,OCC_Y1,IF(AM5=2,OCC_Y2,OCC_STAB)),0)</f>
        <v/>
      </c>
      <c r="AN7" s="13">
        <f>IF(AN4=1,IF(AN5&lt;=1,OCC_Y1,IF(AN5=2,OCC_Y2,OCC_STAB)),0)</f>
        <v/>
      </c>
      <c r="AO7" s="13">
        <f>IF(AO4=1,IF(AO5&lt;=1,OCC_Y1,IF(AO5=2,OCC_Y2,OCC_STAB)),0)</f>
        <v/>
      </c>
      <c r="AP7" s="13">
        <f>IF(AP4=1,IF(AP5&lt;=1,OCC_Y1,IF(AP5=2,OCC_Y2,OCC_STAB)),0)</f>
        <v/>
      </c>
      <c r="AQ7" s="13">
        <f>IF(AQ4=1,IF(AQ5&lt;=1,OCC_Y1,IF(AQ5=2,OCC_Y2,OCC_STAB)),0)</f>
        <v/>
      </c>
      <c r="AR7" s="13">
        <f>IF(AR4=1,IF(AR5&lt;=1,OCC_Y1,IF(AR5=2,OCC_Y2,OCC_STAB)),0)</f>
        <v/>
      </c>
      <c r="AS7" s="13">
        <f>IF(AS4=1,IF(AS5&lt;=1,OCC_Y1,IF(AS5=2,OCC_Y2,OCC_STAB)),0)</f>
        <v/>
      </c>
      <c r="AT7" s="13">
        <f>IF(AT4=1,IF(AT5&lt;=1,OCC_Y1,IF(AT5=2,OCC_Y2,OCC_STAB)),0)</f>
        <v/>
      </c>
      <c r="AU7" s="13">
        <f>IF(AU4=1,IF(AU5&lt;=1,OCC_Y1,IF(AU5=2,OCC_Y2,OCC_STAB)),0)</f>
        <v/>
      </c>
      <c r="AV7" s="13">
        <f>IF(AV4=1,IF(AV5&lt;=1,OCC_Y1,IF(AV5=2,OCC_Y2,OCC_STAB)),0)</f>
        <v/>
      </c>
      <c r="AW7" s="13">
        <f>IF(AW4=1,IF(AW5&lt;=1,OCC_Y1,IF(AW5=2,OCC_Y2,OCC_STAB)),0)</f>
        <v/>
      </c>
      <c r="AX7" s="13">
        <f>IF(AX4=1,IF(AX5&lt;=1,OCC_Y1,IF(AX5=2,OCC_Y2,OCC_STAB)),0)</f>
        <v/>
      </c>
      <c r="AY7" s="13">
        <f>IF(AY4=1,IF(AY5&lt;=1,OCC_Y1,IF(AY5=2,OCC_Y2,OCC_STAB)),0)</f>
        <v/>
      </c>
      <c r="AZ7" s="13">
        <f>IF(AZ4=1,IF(AZ5&lt;=1,OCC_Y1,IF(AZ5=2,OCC_Y2,OCC_STAB)),0)</f>
        <v/>
      </c>
      <c r="BA7" s="13">
        <f>IF(BA4=1,IF(BA5&lt;=1,OCC_Y1,IF(BA5=2,OCC_Y2,OCC_STAB)),0)</f>
        <v/>
      </c>
      <c r="BB7" s="13">
        <f>IF(BB4=1,IF(BB5&lt;=1,OCC_Y1,IF(BB5=2,OCC_Y2,OCC_STAB)),0)</f>
        <v/>
      </c>
      <c r="BC7" s="13">
        <f>IF(BC4=1,IF(BC5&lt;=1,OCC_Y1,IF(BC5=2,OCC_Y2,OCC_STAB)),0)</f>
        <v/>
      </c>
      <c r="BD7" s="13">
        <f>IF(BD4=1,IF(BD5&lt;=1,OCC_Y1,IF(BD5=2,OCC_Y2,OCC_STAB)),0)</f>
        <v/>
      </c>
      <c r="BE7" s="13">
        <f>IF(BE4=1,IF(BE5&lt;=1,OCC_Y1,IF(BE5=2,OCC_Y2,OCC_STAB)),0)</f>
        <v/>
      </c>
      <c r="BF7" s="13">
        <f>IF(BF4=1,IF(BF5&lt;=1,OCC_Y1,IF(BF5=2,OCC_Y2,OCC_STAB)),0)</f>
        <v/>
      </c>
      <c r="BG7" s="13">
        <f>IF(BG4=1,IF(BG5&lt;=1,OCC_Y1,IF(BG5=2,OCC_Y2,OCC_STAB)),0)</f>
        <v/>
      </c>
      <c r="BH7" s="13">
        <f>IF(BH4=1,IF(BH5&lt;=1,OCC_Y1,IF(BH5=2,OCC_Y2,OCC_STAB)),0)</f>
        <v/>
      </c>
      <c r="BI7" s="13">
        <f>IF(BI4=1,IF(BI5&lt;=1,OCC_Y1,IF(BI5=2,OCC_Y2,OCC_STAB)),0)</f>
        <v/>
      </c>
      <c r="BJ7" s="13">
        <f>IF(BJ4=1,IF(BJ5&lt;=1,OCC_Y1,IF(BJ5=2,OCC_Y2,OCC_STAB)),0)</f>
        <v/>
      </c>
      <c r="BK7" s="13">
        <f>IF(BK4=1,IF(BK5&lt;=1,OCC_Y1,IF(BK5=2,OCC_Y2,OCC_STAB)),0)</f>
        <v/>
      </c>
      <c r="BL7" s="13">
        <f>IF(BL4=1,IF(BL5&lt;=1,OCC_Y1,IF(BL5=2,OCC_Y2,OCC_STAB)),0)</f>
        <v/>
      </c>
      <c r="BM7" s="13">
        <f>IF(BM4=1,IF(BM5&lt;=1,OCC_Y1,IF(BM5=2,OCC_Y2,OCC_STAB)),0)</f>
        <v/>
      </c>
      <c r="BN7" s="13">
        <f>IF(BN4=1,IF(BN5&lt;=1,OCC_Y1,IF(BN5=2,OCC_Y2,OCC_STAB)),0)</f>
        <v/>
      </c>
      <c r="BO7" s="13">
        <f>IF(BO4=1,IF(BO5&lt;=1,OCC_Y1,IF(BO5=2,OCC_Y2,OCC_STAB)),0)</f>
        <v/>
      </c>
      <c r="BP7" s="13">
        <f>IF(BP4=1,IF(BP5&lt;=1,OCC_Y1,IF(BP5=2,OCC_Y2,OCC_STAB)),0)</f>
        <v/>
      </c>
      <c r="BQ7" s="13">
        <f>IF(BQ4=1,IF(BQ5&lt;=1,OCC_Y1,IF(BQ5=2,OCC_Y2,OCC_STAB)),0)</f>
        <v/>
      </c>
      <c r="BR7" s="13">
        <f>IF(BR4=1,IF(BR5&lt;=1,OCC_Y1,IF(BR5=2,OCC_Y2,OCC_STAB)),0)</f>
        <v/>
      </c>
      <c r="BS7" s="13">
        <f>IF(BS4=1,IF(BS5&lt;=1,OCC_Y1,IF(BS5=2,OCC_Y2,OCC_STAB)),0)</f>
        <v/>
      </c>
      <c r="BT7" s="13">
        <f>IF(BT4=1,IF(BT5&lt;=1,OCC_Y1,IF(BT5=2,OCC_Y2,OCC_STAB)),0)</f>
        <v/>
      </c>
      <c r="BU7" s="13">
        <f>IF(BU4=1,IF(BU5&lt;=1,OCC_Y1,IF(BU5=2,OCC_Y2,OCC_STAB)),0)</f>
        <v/>
      </c>
      <c r="BV7" s="13">
        <f>IF(BV4=1,IF(BV5&lt;=1,OCC_Y1,IF(BV5=2,OCC_Y2,OCC_STAB)),0)</f>
        <v/>
      </c>
      <c r="BW7" s="13">
        <f>IF(BW4=1,IF(BW5&lt;=1,OCC_Y1,IF(BW5=2,OCC_Y2,OCC_STAB)),0)</f>
        <v/>
      </c>
      <c r="BX7" s="13">
        <f>IF(BX4=1,IF(BX5&lt;=1,OCC_Y1,IF(BX5=2,OCC_Y2,OCC_STAB)),0)</f>
        <v/>
      </c>
      <c r="BY7" s="13">
        <f>IF(BY4=1,IF(BY5&lt;=1,OCC_Y1,IF(BY5=2,OCC_Y2,OCC_STAB)),0)</f>
        <v/>
      </c>
      <c r="BZ7" s="13">
        <f>IF(BZ4=1,IF(BZ5&lt;=1,OCC_Y1,IF(BZ5=2,OCC_Y2,OCC_STAB)),0)</f>
        <v/>
      </c>
      <c r="CA7" s="13">
        <f>IF(CA4=1,IF(CA5&lt;=1,OCC_Y1,IF(CA5=2,OCC_Y2,OCC_STAB)),0)</f>
        <v/>
      </c>
      <c r="CB7" s="13">
        <f>IF(CB4=1,IF(CB5&lt;=1,OCC_Y1,IF(CB5=2,OCC_Y2,OCC_STAB)),0)</f>
        <v/>
      </c>
      <c r="CC7" s="13">
        <f>IF(CC4=1,IF(CC5&lt;=1,OCC_Y1,IF(CC5=2,OCC_Y2,OCC_STAB)),0)</f>
        <v/>
      </c>
      <c r="CD7" s="13">
        <f>IF(CD4=1,IF(CD5&lt;=1,OCC_Y1,IF(CD5=2,OCC_Y2,OCC_STAB)),0)</f>
        <v/>
      </c>
      <c r="CE7" s="13">
        <f>IF(CE4=1,IF(CE5&lt;=1,OCC_Y1,IF(CE5=2,OCC_Y2,OCC_STAB)),0)</f>
        <v/>
      </c>
      <c r="CF7" s="13">
        <f>IF(CF4=1,IF(CF5&lt;=1,OCC_Y1,IF(CF5=2,OCC_Y2,OCC_STAB)),0)</f>
        <v/>
      </c>
      <c r="CG7" s="13">
        <f>IF(CG4=1,IF(CG5&lt;=1,OCC_Y1,IF(CG5=2,OCC_Y2,OCC_STAB)),0)</f>
        <v/>
      </c>
      <c r="CH7" s="13">
        <f>IF(CH4=1,IF(CH5&lt;=1,OCC_Y1,IF(CH5=2,OCC_Y2,OCC_STAB)),0)</f>
        <v/>
      </c>
    </row>
    <row r="8">
      <c r="A8" s="3" t="inlineStr">
        <is>
          <t>Days</t>
        </is>
      </c>
      <c r="B8" s="4" t="inlineStr">
        <is>
          <t>days</t>
        </is>
      </c>
      <c r="C8" s="10">
        <f>IF(C4=1,DAY(C3),0)</f>
        <v/>
      </c>
      <c r="D8" s="10">
        <f>IF(D4=1,DAY(D3),0)</f>
        <v/>
      </c>
      <c r="E8" s="10">
        <f>IF(E4=1,DAY(E3),0)</f>
        <v/>
      </c>
      <c r="F8" s="10">
        <f>IF(F4=1,DAY(F3),0)</f>
        <v/>
      </c>
      <c r="G8" s="10">
        <f>IF(G4=1,DAY(G3),0)</f>
        <v/>
      </c>
      <c r="H8" s="10">
        <f>IF(H4=1,DAY(H3),0)</f>
        <v/>
      </c>
      <c r="I8" s="10">
        <f>IF(I4=1,DAY(I3),0)</f>
        <v/>
      </c>
      <c r="J8" s="10">
        <f>IF(J4=1,DAY(J3),0)</f>
        <v/>
      </c>
      <c r="K8" s="10">
        <f>IF(K4=1,DAY(K3),0)</f>
        <v/>
      </c>
      <c r="L8" s="10">
        <f>IF(L4=1,DAY(L3),0)</f>
        <v/>
      </c>
      <c r="M8" s="10">
        <f>IF(M4=1,DAY(M3),0)</f>
        <v/>
      </c>
      <c r="N8" s="10">
        <f>IF(N4=1,DAY(N3),0)</f>
        <v/>
      </c>
      <c r="O8" s="10">
        <f>IF(O4=1,DAY(O3),0)</f>
        <v/>
      </c>
      <c r="P8" s="10">
        <f>IF(P4=1,DAY(P3),0)</f>
        <v/>
      </c>
      <c r="Q8" s="10">
        <f>IF(Q4=1,DAY(Q3),0)</f>
        <v/>
      </c>
      <c r="R8" s="10">
        <f>IF(R4=1,DAY(R3),0)</f>
        <v/>
      </c>
      <c r="S8" s="10">
        <f>IF(S4=1,DAY(S3),0)</f>
        <v/>
      </c>
      <c r="T8" s="10">
        <f>IF(T4=1,DAY(T3),0)</f>
        <v/>
      </c>
      <c r="U8" s="10">
        <f>IF(U4=1,DAY(U3),0)</f>
        <v/>
      </c>
      <c r="V8" s="10">
        <f>IF(V4=1,DAY(V3),0)</f>
        <v/>
      </c>
      <c r="W8" s="10">
        <f>IF(W4=1,DAY(W3),0)</f>
        <v/>
      </c>
      <c r="X8" s="10">
        <f>IF(X4=1,DAY(X3),0)</f>
        <v/>
      </c>
      <c r="Y8" s="10">
        <f>IF(Y4=1,DAY(Y3),0)</f>
        <v/>
      </c>
      <c r="Z8" s="10">
        <f>IF(Z4=1,DAY(Z3),0)</f>
        <v/>
      </c>
      <c r="AA8" s="10">
        <f>IF(AA4=1,DAY(AA3),0)</f>
        <v/>
      </c>
      <c r="AB8" s="10">
        <f>IF(AB4=1,DAY(AB3),0)</f>
        <v/>
      </c>
      <c r="AC8" s="10">
        <f>IF(AC4=1,DAY(AC3),0)</f>
        <v/>
      </c>
      <c r="AD8" s="10">
        <f>IF(AD4=1,DAY(AD3),0)</f>
        <v/>
      </c>
      <c r="AE8" s="10">
        <f>IF(AE4=1,DAY(AE3),0)</f>
        <v/>
      </c>
      <c r="AF8" s="10">
        <f>IF(AF4=1,DAY(AF3),0)</f>
        <v/>
      </c>
      <c r="AG8" s="10">
        <f>IF(AG4=1,DAY(AG3),0)</f>
        <v/>
      </c>
      <c r="AH8" s="10">
        <f>IF(AH4=1,DAY(AH3),0)</f>
        <v/>
      </c>
      <c r="AI8" s="10">
        <f>IF(AI4=1,DAY(AI3),0)</f>
        <v/>
      </c>
      <c r="AJ8" s="10">
        <f>IF(AJ4=1,DAY(AJ3),0)</f>
        <v/>
      </c>
      <c r="AK8" s="10">
        <f>IF(AK4=1,DAY(AK3),0)</f>
        <v/>
      </c>
      <c r="AL8" s="10">
        <f>IF(AL4=1,DAY(AL3),0)</f>
        <v/>
      </c>
      <c r="AM8" s="10">
        <f>IF(AM4=1,DAY(AM3),0)</f>
        <v/>
      </c>
      <c r="AN8" s="10">
        <f>IF(AN4=1,DAY(AN3),0)</f>
        <v/>
      </c>
      <c r="AO8" s="10">
        <f>IF(AO4=1,DAY(AO3),0)</f>
        <v/>
      </c>
      <c r="AP8" s="10">
        <f>IF(AP4=1,DAY(AP3),0)</f>
        <v/>
      </c>
      <c r="AQ8" s="10">
        <f>IF(AQ4=1,DAY(AQ3),0)</f>
        <v/>
      </c>
      <c r="AR8" s="10">
        <f>IF(AR4=1,DAY(AR3),0)</f>
        <v/>
      </c>
      <c r="AS8" s="10">
        <f>IF(AS4=1,DAY(AS3),0)</f>
        <v/>
      </c>
      <c r="AT8" s="10">
        <f>IF(AT4=1,DAY(AT3),0)</f>
        <v/>
      </c>
      <c r="AU8" s="10">
        <f>IF(AU4=1,DAY(AU3),0)</f>
        <v/>
      </c>
      <c r="AV8" s="10">
        <f>IF(AV4=1,DAY(AV3),0)</f>
        <v/>
      </c>
      <c r="AW8" s="10">
        <f>IF(AW4=1,DAY(AW3),0)</f>
        <v/>
      </c>
      <c r="AX8" s="10">
        <f>IF(AX4=1,DAY(AX3),0)</f>
        <v/>
      </c>
      <c r="AY8" s="10">
        <f>IF(AY4=1,DAY(AY3),0)</f>
        <v/>
      </c>
      <c r="AZ8" s="10">
        <f>IF(AZ4=1,DAY(AZ3),0)</f>
        <v/>
      </c>
      <c r="BA8" s="10">
        <f>IF(BA4=1,DAY(BA3),0)</f>
        <v/>
      </c>
      <c r="BB8" s="10">
        <f>IF(BB4=1,DAY(BB3),0)</f>
        <v/>
      </c>
      <c r="BC8" s="10">
        <f>IF(BC4=1,DAY(BC3),0)</f>
        <v/>
      </c>
      <c r="BD8" s="10">
        <f>IF(BD4=1,DAY(BD3),0)</f>
        <v/>
      </c>
      <c r="BE8" s="10">
        <f>IF(BE4=1,DAY(BE3),0)</f>
        <v/>
      </c>
      <c r="BF8" s="10">
        <f>IF(BF4=1,DAY(BF3),0)</f>
        <v/>
      </c>
      <c r="BG8" s="10">
        <f>IF(BG4=1,DAY(BG3),0)</f>
        <v/>
      </c>
      <c r="BH8" s="10">
        <f>IF(BH4=1,DAY(BH3),0)</f>
        <v/>
      </c>
      <c r="BI8" s="10">
        <f>IF(BI4=1,DAY(BI3),0)</f>
        <v/>
      </c>
      <c r="BJ8" s="10">
        <f>IF(BJ4=1,DAY(BJ3),0)</f>
        <v/>
      </c>
      <c r="BK8" s="10">
        <f>IF(BK4=1,DAY(BK3),0)</f>
        <v/>
      </c>
      <c r="BL8" s="10">
        <f>IF(BL4=1,DAY(BL3),0)</f>
        <v/>
      </c>
      <c r="BM8" s="10">
        <f>IF(BM4=1,DAY(BM3),0)</f>
        <v/>
      </c>
      <c r="BN8" s="10">
        <f>IF(BN4=1,DAY(BN3),0)</f>
        <v/>
      </c>
      <c r="BO8" s="10">
        <f>IF(BO4=1,DAY(BO3),0)</f>
        <v/>
      </c>
      <c r="BP8" s="10">
        <f>IF(BP4=1,DAY(BP3),0)</f>
        <v/>
      </c>
      <c r="BQ8" s="10">
        <f>IF(BQ4=1,DAY(BQ3),0)</f>
        <v/>
      </c>
      <c r="BR8" s="10">
        <f>IF(BR4=1,DAY(BR3),0)</f>
        <v/>
      </c>
      <c r="BS8" s="10">
        <f>IF(BS4=1,DAY(BS3),0)</f>
        <v/>
      </c>
      <c r="BT8" s="10">
        <f>IF(BT4=1,DAY(BT3),0)</f>
        <v/>
      </c>
      <c r="BU8" s="10">
        <f>IF(BU4=1,DAY(BU3),0)</f>
        <v/>
      </c>
      <c r="BV8" s="10">
        <f>IF(BV4=1,DAY(BV3),0)</f>
        <v/>
      </c>
      <c r="BW8" s="10">
        <f>IF(BW4=1,DAY(BW3),0)</f>
        <v/>
      </c>
      <c r="BX8" s="10">
        <f>IF(BX4=1,DAY(BX3),0)</f>
        <v/>
      </c>
      <c r="BY8" s="10">
        <f>IF(BY4=1,DAY(BY3),0)</f>
        <v/>
      </c>
      <c r="BZ8" s="10">
        <f>IF(BZ4=1,DAY(BZ3),0)</f>
        <v/>
      </c>
      <c r="CA8" s="10">
        <f>IF(CA4=1,DAY(CA3),0)</f>
        <v/>
      </c>
      <c r="CB8" s="10">
        <f>IF(CB4=1,DAY(CB3),0)</f>
        <v/>
      </c>
      <c r="CC8" s="10">
        <f>IF(CC4=1,DAY(CC3),0)</f>
        <v/>
      </c>
      <c r="CD8" s="10">
        <f>IF(CD4=1,DAY(CD3),0)</f>
        <v/>
      </c>
      <c r="CE8" s="10">
        <f>IF(CE4=1,DAY(CE3),0)</f>
        <v/>
      </c>
      <c r="CF8" s="10">
        <f>IF(CF4=1,DAY(CF3),0)</f>
        <v/>
      </c>
      <c r="CG8" s="10">
        <f>IF(CG4=1,DAY(CG3),0)</f>
        <v/>
      </c>
      <c r="CH8" s="10">
        <f>IF(CH4=1,DAY(CH3),0)</f>
        <v/>
      </c>
    </row>
    <row r="9">
      <c r="A9" s="3" t="inlineStr">
        <is>
          <t>Rooms revenue</t>
        </is>
      </c>
      <c r="B9" s="4" t="inlineStr">
        <is>
          <t>$</t>
        </is>
      </c>
      <c r="C9" s="12">
        <f>IF(C4=1,HOTEL_KEYS*C8*C7*C6,0)</f>
        <v/>
      </c>
      <c r="D9" s="12">
        <f>IF(D4=1,HOTEL_KEYS*D8*D7*D6,0)</f>
        <v/>
      </c>
      <c r="E9" s="12">
        <f>IF(E4=1,HOTEL_KEYS*E8*E7*E6,0)</f>
        <v/>
      </c>
      <c r="F9" s="12">
        <f>IF(F4=1,HOTEL_KEYS*F8*F7*F6,0)</f>
        <v/>
      </c>
      <c r="G9" s="12">
        <f>IF(G4=1,HOTEL_KEYS*G8*G7*G6,0)</f>
        <v/>
      </c>
      <c r="H9" s="12">
        <f>IF(H4=1,HOTEL_KEYS*H8*H7*H6,0)</f>
        <v/>
      </c>
      <c r="I9" s="12">
        <f>IF(I4=1,HOTEL_KEYS*I8*I7*I6,0)</f>
        <v/>
      </c>
      <c r="J9" s="12">
        <f>IF(J4=1,HOTEL_KEYS*J8*J7*J6,0)</f>
        <v/>
      </c>
      <c r="K9" s="12">
        <f>IF(K4=1,HOTEL_KEYS*K8*K7*K6,0)</f>
        <v/>
      </c>
      <c r="L9" s="12">
        <f>IF(L4=1,HOTEL_KEYS*L8*L7*L6,0)</f>
        <v/>
      </c>
      <c r="M9" s="12">
        <f>IF(M4=1,HOTEL_KEYS*M8*M7*M6,0)</f>
        <v/>
      </c>
      <c r="N9" s="12">
        <f>IF(N4=1,HOTEL_KEYS*N8*N7*N6,0)</f>
        <v/>
      </c>
      <c r="O9" s="12">
        <f>IF(O4=1,HOTEL_KEYS*O8*O7*O6,0)</f>
        <v/>
      </c>
      <c r="P9" s="12">
        <f>IF(P4=1,HOTEL_KEYS*P8*P7*P6,0)</f>
        <v/>
      </c>
      <c r="Q9" s="12">
        <f>IF(Q4=1,HOTEL_KEYS*Q8*Q7*Q6,0)</f>
        <v/>
      </c>
      <c r="R9" s="12">
        <f>IF(R4=1,HOTEL_KEYS*R8*R7*R6,0)</f>
        <v/>
      </c>
      <c r="S9" s="12">
        <f>IF(S4=1,HOTEL_KEYS*S8*S7*S6,0)</f>
        <v/>
      </c>
      <c r="T9" s="12">
        <f>IF(T4=1,HOTEL_KEYS*T8*T7*T6,0)</f>
        <v/>
      </c>
      <c r="U9" s="12">
        <f>IF(U4=1,HOTEL_KEYS*U8*U7*U6,0)</f>
        <v/>
      </c>
      <c r="V9" s="12">
        <f>IF(V4=1,HOTEL_KEYS*V8*V7*V6,0)</f>
        <v/>
      </c>
      <c r="W9" s="12">
        <f>IF(W4=1,HOTEL_KEYS*W8*W7*W6,0)</f>
        <v/>
      </c>
      <c r="X9" s="12">
        <f>IF(X4=1,HOTEL_KEYS*X8*X7*X6,0)</f>
        <v/>
      </c>
      <c r="Y9" s="12">
        <f>IF(Y4=1,HOTEL_KEYS*Y8*Y7*Y6,0)</f>
        <v/>
      </c>
      <c r="Z9" s="12">
        <f>IF(Z4=1,HOTEL_KEYS*Z8*Z7*Z6,0)</f>
        <v/>
      </c>
      <c r="AA9" s="12">
        <f>IF(AA4=1,HOTEL_KEYS*AA8*AA7*AA6,0)</f>
        <v/>
      </c>
      <c r="AB9" s="12">
        <f>IF(AB4=1,HOTEL_KEYS*AB8*AB7*AB6,0)</f>
        <v/>
      </c>
      <c r="AC9" s="12">
        <f>IF(AC4=1,HOTEL_KEYS*AC8*AC7*AC6,0)</f>
        <v/>
      </c>
      <c r="AD9" s="12">
        <f>IF(AD4=1,HOTEL_KEYS*AD8*AD7*AD6,0)</f>
        <v/>
      </c>
      <c r="AE9" s="12">
        <f>IF(AE4=1,HOTEL_KEYS*AE8*AE7*AE6,0)</f>
        <v/>
      </c>
      <c r="AF9" s="12">
        <f>IF(AF4=1,HOTEL_KEYS*AF8*AF7*AF6,0)</f>
        <v/>
      </c>
      <c r="AG9" s="12">
        <f>IF(AG4=1,HOTEL_KEYS*AG8*AG7*AG6,0)</f>
        <v/>
      </c>
      <c r="AH9" s="12">
        <f>IF(AH4=1,HOTEL_KEYS*AH8*AH7*AH6,0)</f>
        <v/>
      </c>
      <c r="AI9" s="12">
        <f>IF(AI4=1,HOTEL_KEYS*AI8*AI7*AI6,0)</f>
        <v/>
      </c>
      <c r="AJ9" s="12">
        <f>IF(AJ4=1,HOTEL_KEYS*AJ8*AJ7*AJ6,0)</f>
        <v/>
      </c>
      <c r="AK9" s="12">
        <f>IF(AK4=1,HOTEL_KEYS*AK8*AK7*AK6,0)</f>
        <v/>
      </c>
      <c r="AL9" s="12">
        <f>IF(AL4=1,HOTEL_KEYS*AL8*AL7*AL6,0)</f>
        <v/>
      </c>
      <c r="AM9" s="12">
        <f>IF(AM4=1,HOTEL_KEYS*AM8*AM7*AM6,0)</f>
        <v/>
      </c>
      <c r="AN9" s="12">
        <f>IF(AN4=1,HOTEL_KEYS*AN8*AN7*AN6,0)</f>
        <v/>
      </c>
      <c r="AO9" s="12">
        <f>IF(AO4=1,HOTEL_KEYS*AO8*AO7*AO6,0)</f>
        <v/>
      </c>
      <c r="AP9" s="12">
        <f>IF(AP4=1,HOTEL_KEYS*AP8*AP7*AP6,0)</f>
        <v/>
      </c>
      <c r="AQ9" s="12">
        <f>IF(AQ4=1,HOTEL_KEYS*AQ8*AQ7*AQ6,0)</f>
        <v/>
      </c>
      <c r="AR9" s="12">
        <f>IF(AR4=1,HOTEL_KEYS*AR8*AR7*AR6,0)</f>
        <v/>
      </c>
      <c r="AS9" s="12">
        <f>IF(AS4=1,HOTEL_KEYS*AS8*AS7*AS6,0)</f>
        <v/>
      </c>
      <c r="AT9" s="12">
        <f>IF(AT4=1,HOTEL_KEYS*AT8*AT7*AT6,0)</f>
        <v/>
      </c>
      <c r="AU9" s="12">
        <f>IF(AU4=1,HOTEL_KEYS*AU8*AU7*AU6,0)</f>
        <v/>
      </c>
      <c r="AV9" s="12">
        <f>IF(AV4=1,HOTEL_KEYS*AV8*AV7*AV6,0)</f>
        <v/>
      </c>
      <c r="AW9" s="12">
        <f>IF(AW4=1,HOTEL_KEYS*AW8*AW7*AW6,0)</f>
        <v/>
      </c>
      <c r="AX9" s="12">
        <f>IF(AX4=1,HOTEL_KEYS*AX8*AX7*AX6,0)</f>
        <v/>
      </c>
      <c r="AY9" s="12">
        <f>IF(AY4=1,HOTEL_KEYS*AY8*AY7*AY6,0)</f>
        <v/>
      </c>
      <c r="AZ9" s="12">
        <f>IF(AZ4=1,HOTEL_KEYS*AZ8*AZ7*AZ6,0)</f>
        <v/>
      </c>
      <c r="BA9" s="12">
        <f>IF(BA4=1,HOTEL_KEYS*BA8*BA7*BA6,0)</f>
        <v/>
      </c>
      <c r="BB9" s="12">
        <f>IF(BB4=1,HOTEL_KEYS*BB8*BB7*BB6,0)</f>
        <v/>
      </c>
      <c r="BC9" s="12">
        <f>IF(BC4=1,HOTEL_KEYS*BC8*BC7*BC6,0)</f>
        <v/>
      </c>
      <c r="BD9" s="12">
        <f>IF(BD4=1,HOTEL_KEYS*BD8*BD7*BD6,0)</f>
        <v/>
      </c>
      <c r="BE9" s="12">
        <f>IF(BE4=1,HOTEL_KEYS*BE8*BE7*BE6,0)</f>
        <v/>
      </c>
      <c r="BF9" s="12">
        <f>IF(BF4=1,HOTEL_KEYS*BF8*BF7*BF6,0)</f>
        <v/>
      </c>
      <c r="BG9" s="12">
        <f>IF(BG4=1,HOTEL_KEYS*BG8*BG7*BG6,0)</f>
        <v/>
      </c>
      <c r="BH9" s="12">
        <f>IF(BH4=1,HOTEL_KEYS*BH8*BH7*BH6,0)</f>
        <v/>
      </c>
      <c r="BI9" s="12">
        <f>IF(BI4=1,HOTEL_KEYS*BI8*BI7*BI6,0)</f>
        <v/>
      </c>
      <c r="BJ9" s="12">
        <f>IF(BJ4=1,HOTEL_KEYS*BJ8*BJ7*BJ6,0)</f>
        <v/>
      </c>
      <c r="BK9" s="12">
        <f>IF(BK4=1,HOTEL_KEYS*BK8*BK7*BK6,0)</f>
        <v/>
      </c>
      <c r="BL9" s="12">
        <f>IF(BL4=1,HOTEL_KEYS*BL8*BL7*BL6,0)</f>
        <v/>
      </c>
      <c r="BM9" s="12">
        <f>IF(BM4=1,HOTEL_KEYS*BM8*BM7*BM6,0)</f>
        <v/>
      </c>
      <c r="BN9" s="12">
        <f>IF(BN4=1,HOTEL_KEYS*BN8*BN7*BN6,0)</f>
        <v/>
      </c>
      <c r="BO9" s="12">
        <f>IF(BO4=1,HOTEL_KEYS*BO8*BO7*BO6,0)</f>
        <v/>
      </c>
      <c r="BP9" s="12">
        <f>IF(BP4=1,HOTEL_KEYS*BP8*BP7*BP6,0)</f>
        <v/>
      </c>
      <c r="BQ9" s="12">
        <f>IF(BQ4=1,HOTEL_KEYS*BQ8*BQ7*BQ6,0)</f>
        <v/>
      </c>
      <c r="BR9" s="12">
        <f>IF(BR4=1,HOTEL_KEYS*BR8*BR7*BR6,0)</f>
        <v/>
      </c>
      <c r="BS9" s="12">
        <f>IF(BS4=1,HOTEL_KEYS*BS8*BS7*BS6,0)</f>
        <v/>
      </c>
      <c r="BT9" s="12">
        <f>IF(BT4=1,HOTEL_KEYS*BT8*BT7*BT6,0)</f>
        <v/>
      </c>
      <c r="BU9" s="12">
        <f>IF(BU4=1,HOTEL_KEYS*BU8*BU7*BU6,0)</f>
        <v/>
      </c>
      <c r="BV9" s="12">
        <f>IF(BV4=1,HOTEL_KEYS*BV8*BV7*BV6,0)</f>
        <v/>
      </c>
      <c r="BW9" s="12">
        <f>IF(BW4=1,HOTEL_KEYS*BW8*BW7*BW6,0)</f>
        <v/>
      </c>
      <c r="BX9" s="12">
        <f>IF(BX4=1,HOTEL_KEYS*BX8*BX7*BX6,0)</f>
        <v/>
      </c>
      <c r="BY9" s="12">
        <f>IF(BY4=1,HOTEL_KEYS*BY8*BY7*BY6,0)</f>
        <v/>
      </c>
      <c r="BZ9" s="12">
        <f>IF(BZ4=1,HOTEL_KEYS*BZ8*BZ7*BZ6,0)</f>
        <v/>
      </c>
      <c r="CA9" s="12">
        <f>IF(CA4=1,HOTEL_KEYS*CA8*CA7*CA6,0)</f>
        <v/>
      </c>
      <c r="CB9" s="12">
        <f>IF(CB4=1,HOTEL_KEYS*CB8*CB7*CB6,0)</f>
        <v/>
      </c>
      <c r="CC9" s="12">
        <f>IF(CC4=1,HOTEL_KEYS*CC8*CC7*CC6,0)</f>
        <v/>
      </c>
      <c r="CD9" s="12">
        <f>IF(CD4=1,HOTEL_KEYS*CD8*CD7*CD6,0)</f>
        <v/>
      </c>
      <c r="CE9" s="12">
        <f>IF(CE4=1,HOTEL_KEYS*CE8*CE7*CE6,0)</f>
        <v/>
      </c>
      <c r="CF9" s="12">
        <f>IF(CF4=1,HOTEL_KEYS*CF8*CF7*CF6,0)</f>
        <v/>
      </c>
      <c r="CG9" s="12">
        <f>IF(CG4=1,HOTEL_KEYS*CG8*CG7*CG6,0)</f>
        <v/>
      </c>
      <c r="CH9" s="12">
        <f>IF(CH4=1,HOTEL_KEYS*CH8*CH7*CH6,0)</f>
        <v/>
      </c>
    </row>
    <row r="10">
      <c r="A10" s="3" t="inlineStr">
        <is>
          <t>Total revenue</t>
        </is>
      </c>
      <c r="B10" s="4" t="inlineStr">
        <is>
          <t>$</t>
        </is>
      </c>
      <c r="C10" s="12">
        <f>C9*(1+FB_REV_PCT+OTHER_REV_PCT)</f>
        <v/>
      </c>
      <c r="D10" s="12">
        <f>D9*(1+FB_REV_PCT+OTHER_REV_PCT)</f>
        <v/>
      </c>
      <c r="E10" s="12">
        <f>E9*(1+FB_REV_PCT+OTHER_REV_PCT)</f>
        <v/>
      </c>
      <c r="F10" s="12">
        <f>F9*(1+FB_REV_PCT+OTHER_REV_PCT)</f>
        <v/>
      </c>
      <c r="G10" s="12">
        <f>G9*(1+FB_REV_PCT+OTHER_REV_PCT)</f>
        <v/>
      </c>
      <c r="H10" s="12">
        <f>H9*(1+FB_REV_PCT+OTHER_REV_PCT)</f>
        <v/>
      </c>
      <c r="I10" s="12">
        <f>I9*(1+FB_REV_PCT+OTHER_REV_PCT)</f>
        <v/>
      </c>
      <c r="J10" s="12">
        <f>J9*(1+FB_REV_PCT+OTHER_REV_PCT)</f>
        <v/>
      </c>
      <c r="K10" s="12">
        <f>K9*(1+FB_REV_PCT+OTHER_REV_PCT)</f>
        <v/>
      </c>
      <c r="L10" s="12">
        <f>L9*(1+FB_REV_PCT+OTHER_REV_PCT)</f>
        <v/>
      </c>
      <c r="M10" s="12">
        <f>M9*(1+FB_REV_PCT+OTHER_REV_PCT)</f>
        <v/>
      </c>
      <c r="N10" s="12">
        <f>N9*(1+FB_REV_PCT+OTHER_REV_PCT)</f>
        <v/>
      </c>
      <c r="O10" s="12">
        <f>O9*(1+FB_REV_PCT+OTHER_REV_PCT)</f>
        <v/>
      </c>
      <c r="P10" s="12">
        <f>P9*(1+FB_REV_PCT+OTHER_REV_PCT)</f>
        <v/>
      </c>
      <c r="Q10" s="12">
        <f>Q9*(1+FB_REV_PCT+OTHER_REV_PCT)</f>
        <v/>
      </c>
      <c r="R10" s="12">
        <f>R9*(1+FB_REV_PCT+OTHER_REV_PCT)</f>
        <v/>
      </c>
      <c r="S10" s="12">
        <f>S9*(1+FB_REV_PCT+OTHER_REV_PCT)</f>
        <v/>
      </c>
      <c r="T10" s="12">
        <f>T9*(1+FB_REV_PCT+OTHER_REV_PCT)</f>
        <v/>
      </c>
      <c r="U10" s="12">
        <f>U9*(1+FB_REV_PCT+OTHER_REV_PCT)</f>
        <v/>
      </c>
      <c r="V10" s="12">
        <f>V9*(1+FB_REV_PCT+OTHER_REV_PCT)</f>
        <v/>
      </c>
      <c r="W10" s="12">
        <f>W9*(1+FB_REV_PCT+OTHER_REV_PCT)</f>
        <v/>
      </c>
      <c r="X10" s="12">
        <f>X9*(1+FB_REV_PCT+OTHER_REV_PCT)</f>
        <v/>
      </c>
      <c r="Y10" s="12">
        <f>Y9*(1+FB_REV_PCT+OTHER_REV_PCT)</f>
        <v/>
      </c>
      <c r="Z10" s="12">
        <f>Z9*(1+FB_REV_PCT+OTHER_REV_PCT)</f>
        <v/>
      </c>
      <c r="AA10" s="12">
        <f>AA9*(1+FB_REV_PCT+OTHER_REV_PCT)</f>
        <v/>
      </c>
      <c r="AB10" s="12">
        <f>AB9*(1+FB_REV_PCT+OTHER_REV_PCT)</f>
        <v/>
      </c>
      <c r="AC10" s="12">
        <f>AC9*(1+FB_REV_PCT+OTHER_REV_PCT)</f>
        <v/>
      </c>
      <c r="AD10" s="12">
        <f>AD9*(1+FB_REV_PCT+OTHER_REV_PCT)</f>
        <v/>
      </c>
      <c r="AE10" s="12">
        <f>AE9*(1+FB_REV_PCT+OTHER_REV_PCT)</f>
        <v/>
      </c>
      <c r="AF10" s="12">
        <f>AF9*(1+FB_REV_PCT+OTHER_REV_PCT)</f>
        <v/>
      </c>
      <c r="AG10" s="12">
        <f>AG9*(1+FB_REV_PCT+OTHER_REV_PCT)</f>
        <v/>
      </c>
      <c r="AH10" s="12">
        <f>AH9*(1+FB_REV_PCT+OTHER_REV_PCT)</f>
        <v/>
      </c>
      <c r="AI10" s="12">
        <f>AI9*(1+FB_REV_PCT+OTHER_REV_PCT)</f>
        <v/>
      </c>
      <c r="AJ10" s="12">
        <f>AJ9*(1+FB_REV_PCT+OTHER_REV_PCT)</f>
        <v/>
      </c>
      <c r="AK10" s="12">
        <f>AK9*(1+FB_REV_PCT+OTHER_REV_PCT)</f>
        <v/>
      </c>
      <c r="AL10" s="12">
        <f>AL9*(1+FB_REV_PCT+OTHER_REV_PCT)</f>
        <v/>
      </c>
      <c r="AM10" s="12">
        <f>AM9*(1+FB_REV_PCT+OTHER_REV_PCT)</f>
        <v/>
      </c>
      <c r="AN10" s="12">
        <f>AN9*(1+FB_REV_PCT+OTHER_REV_PCT)</f>
        <v/>
      </c>
      <c r="AO10" s="12">
        <f>AO9*(1+FB_REV_PCT+OTHER_REV_PCT)</f>
        <v/>
      </c>
      <c r="AP10" s="12">
        <f>AP9*(1+FB_REV_PCT+OTHER_REV_PCT)</f>
        <v/>
      </c>
      <c r="AQ10" s="12">
        <f>AQ9*(1+FB_REV_PCT+OTHER_REV_PCT)</f>
        <v/>
      </c>
      <c r="AR10" s="12">
        <f>AR9*(1+FB_REV_PCT+OTHER_REV_PCT)</f>
        <v/>
      </c>
      <c r="AS10" s="12">
        <f>AS9*(1+FB_REV_PCT+OTHER_REV_PCT)</f>
        <v/>
      </c>
      <c r="AT10" s="12">
        <f>AT9*(1+FB_REV_PCT+OTHER_REV_PCT)</f>
        <v/>
      </c>
      <c r="AU10" s="12">
        <f>AU9*(1+FB_REV_PCT+OTHER_REV_PCT)</f>
        <v/>
      </c>
      <c r="AV10" s="12">
        <f>AV9*(1+FB_REV_PCT+OTHER_REV_PCT)</f>
        <v/>
      </c>
      <c r="AW10" s="12">
        <f>AW9*(1+FB_REV_PCT+OTHER_REV_PCT)</f>
        <v/>
      </c>
      <c r="AX10" s="12">
        <f>AX9*(1+FB_REV_PCT+OTHER_REV_PCT)</f>
        <v/>
      </c>
      <c r="AY10" s="12">
        <f>AY9*(1+FB_REV_PCT+OTHER_REV_PCT)</f>
        <v/>
      </c>
      <c r="AZ10" s="12">
        <f>AZ9*(1+FB_REV_PCT+OTHER_REV_PCT)</f>
        <v/>
      </c>
      <c r="BA10" s="12">
        <f>BA9*(1+FB_REV_PCT+OTHER_REV_PCT)</f>
        <v/>
      </c>
      <c r="BB10" s="12">
        <f>BB9*(1+FB_REV_PCT+OTHER_REV_PCT)</f>
        <v/>
      </c>
      <c r="BC10" s="12">
        <f>BC9*(1+FB_REV_PCT+OTHER_REV_PCT)</f>
        <v/>
      </c>
      <c r="BD10" s="12">
        <f>BD9*(1+FB_REV_PCT+OTHER_REV_PCT)</f>
        <v/>
      </c>
      <c r="BE10" s="12">
        <f>BE9*(1+FB_REV_PCT+OTHER_REV_PCT)</f>
        <v/>
      </c>
      <c r="BF10" s="12">
        <f>BF9*(1+FB_REV_PCT+OTHER_REV_PCT)</f>
        <v/>
      </c>
      <c r="BG10" s="12">
        <f>BG9*(1+FB_REV_PCT+OTHER_REV_PCT)</f>
        <v/>
      </c>
      <c r="BH10" s="12">
        <f>BH9*(1+FB_REV_PCT+OTHER_REV_PCT)</f>
        <v/>
      </c>
      <c r="BI10" s="12">
        <f>BI9*(1+FB_REV_PCT+OTHER_REV_PCT)</f>
        <v/>
      </c>
      <c r="BJ10" s="12">
        <f>BJ9*(1+FB_REV_PCT+OTHER_REV_PCT)</f>
        <v/>
      </c>
      <c r="BK10" s="12">
        <f>BK9*(1+FB_REV_PCT+OTHER_REV_PCT)</f>
        <v/>
      </c>
      <c r="BL10" s="12">
        <f>BL9*(1+FB_REV_PCT+OTHER_REV_PCT)</f>
        <v/>
      </c>
      <c r="BM10" s="12">
        <f>BM9*(1+FB_REV_PCT+OTHER_REV_PCT)</f>
        <v/>
      </c>
      <c r="BN10" s="12">
        <f>BN9*(1+FB_REV_PCT+OTHER_REV_PCT)</f>
        <v/>
      </c>
      <c r="BO10" s="12">
        <f>BO9*(1+FB_REV_PCT+OTHER_REV_PCT)</f>
        <v/>
      </c>
      <c r="BP10" s="12">
        <f>BP9*(1+FB_REV_PCT+OTHER_REV_PCT)</f>
        <v/>
      </c>
      <c r="BQ10" s="12">
        <f>BQ9*(1+FB_REV_PCT+OTHER_REV_PCT)</f>
        <v/>
      </c>
      <c r="BR10" s="12">
        <f>BR9*(1+FB_REV_PCT+OTHER_REV_PCT)</f>
        <v/>
      </c>
      <c r="BS10" s="12">
        <f>BS9*(1+FB_REV_PCT+OTHER_REV_PCT)</f>
        <v/>
      </c>
      <c r="BT10" s="12">
        <f>BT9*(1+FB_REV_PCT+OTHER_REV_PCT)</f>
        <v/>
      </c>
      <c r="BU10" s="12">
        <f>BU9*(1+FB_REV_PCT+OTHER_REV_PCT)</f>
        <v/>
      </c>
      <c r="BV10" s="12">
        <f>BV9*(1+FB_REV_PCT+OTHER_REV_PCT)</f>
        <v/>
      </c>
      <c r="BW10" s="12">
        <f>BW9*(1+FB_REV_PCT+OTHER_REV_PCT)</f>
        <v/>
      </c>
      <c r="BX10" s="12">
        <f>BX9*(1+FB_REV_PCT+OTHER_REV_PCT)</f>
        <v/>
      </c>
      <c r="BY10" s="12">
        <f>BY9*(1+FB_REV_PCT+OTHER_REV_PCT)</f>
        <v/>
      </c>
      <c r="BZ10" s="12">
        <f>BZ9*(1+FB_REV_PCT+OTHER_REV_PCT)</f>
        <v/>
      </c>
      <c r="CA10" s="12">
        <f>CA9*(1+FB_REV_PCT+OTHER_REV_PCT)</f>
        <v/>
      </c>
      <c r="CB10" s="12">
        <f>CB9*(1+FB_REV_PCT+OTHER_REV_PCT)</f>
        <v/>
      </c>
      <c r="CC10" s="12">
        <f>CC9*(1+FB_REV_PCT+OTHER_REV_PCT)</f>
        <v/>
      </c>
      <c r="CD10" s="12">
        <f>CD9*(1+FB_REV_PCT+OTHER_REV_PCT)</f>
        <v/>
      </c>
      <c r="CE10" s="12">
        <f>CE9*(1+FB_REV_PCT+OTHER_REV_PCT)</f>
        <v/>
      </c>
      <c r="CF10" s="12">
        <f>CF9*(1+FB_REV_PCT+OTHER_REV_PCT)</f>
        <v/>
      </c>
      <c r="CG10" s="12">
        <f>CG9*(1+FB_REV_PCT+OTHER_REV_PCT)</f>
        <v/>
      </c>
      <c r="CH10" s="12">
        <f>CH9*(1+FB_REV_PCT+OTHER_REV_PCT)</f>
        <v/>
      </c>
    </row>
    <row r="11">
      <c r="A11" s="3" t="inlineStr">
        <is>
          <t>Hotel NOI</t>
        </is>
      </c>
      <c r="B11" s="4" t="inlineStr">
        <is>
          <t>$</t>
        </is>
      </c>
      <c r="C11" s="12">
        <f>C10*(1-HOTEL_UNDIST_PCT-HOTEL_MGMT_PCT-REPL_RESERVE_PCT)</f>
        <v/>
      </c>
      <c r="D11" s="12">
        <f>D10*(1-HOTEL_UNDIST_PCT-HOTEL_MGMT_PCT-REPL_RESERVE_PCT)</f>
        <v/>
      </c>
      <c r="E11" s="12">
        <f>E10*(1-HOTEL_UNDIST_PCT-HOTEL_MGMT_PCT-REPL_RESERVE_PCT)</f>
        <v/>
      </c>
      <c r="F11" s="12">
        <f>F10*(1-HOTEL_UNDIST_PCT-HOTEL_MGMT_PCT-REPL_RESERVE_PCT)</f>
        <v/>
      </c>
      <c r="G11" s="12">
        <f>G10*(1-HOTEL_UNDIST_PCT-HOTEL_MGMT_PCT-REPL_RESERVE_PCT)</f>
        <v/>
      </c>
      <c r="H11" s="12">
        <f>H10*(1-HOTEL_UNDIST_PCT-HOTEL_MGMT_PCT-REPL_RESERVE_PCT)</f>
        <v/>
      </c>
      <c r="I11" s="12">
        <f>I10*(1-HOTEL_UNDIST_PCT-HOTEL_MGMT_PCT-REPL_RESERVE_PCT)</f>
        <v/>
      </c>
      <c r="J11" s="12">
        <f>J10*(1-HOTEL_UNDIST_PCT-HOTEL_MGMT_PCT-REPL_RESERVE_PCT)</f>
        <v/>
      </c>
      <c r="K11" s="12">
        <f>K10*(1-HOTEL_UNDIST_PCT-HOTEL_MGMT_PCT-REPL_RESERVE_PCT)</f>
        <v/>
      </c>
      <c r="L11" s="12">
        <f>L10*(1-HOTEL_UNDIST_PCT-HOTEL_MGMT_PCT-REPL_RESERVE_PCT)</f>
        <v/>
      </c>
      <c r="M11" s="12">
        <f>M10*(1-HOTEL_UNDIST_PCT-HOTEL_MGMT_PCT-REPL_RESERVE_PCT)</f>
        <v/>
      </c>
      <c r="N11" s="12">
        <f>N10*(1-HOTEL_UNDIST_PCT-HOTEL_MGMT_PCT-REPL_RESERVE_PCT)</f>
        <v/>
      </c>
      <c r="O11" s="12">
        <f>O10*(1-HOTEL_UNDIST_PCT-HOTEL_MGMT_PCT-REPL_RESERVE_PCT)</f>
        <v/>
      </c>
      <c r="P11" s="12">
        <f>P10*(1-HOTEL_UNDIST_PCT-HOTEL_MGMT_PCT-REPL_RESERVE_PCT)</f>
        <v/>
      </c>
      <c r="Q11" s="12">
        <f>Q10*(1-HOTEL_UNDIST_PCT-HOTEL_MGMT_PCT-REPL_RESERVE_PCT)</f>
        <v/>
      </c>
      <c r="R11" s="12">
        <f>R10*(1-HOTEL_UNDIST_PCT-HOTEL_MGMT_PCT-REPL_RESERVE_PCT)</f>
        <v/>
      </c>
      <c r="S11" s="12">
        <f>S10*(1-HOTEL_UNDIST_PCT-HOTEL_MGMT_PCT-REPL_RESERVE_PCT)</f>
        <v/>
      </c>
      <c r="T11" s="12">
        <f>T10*(1-HOTEL_UNDIST_PCT-HOTEL_MGMT_PCT-REPL_RESERVE_PCT)</f>
        <v/>
      </c>
      <c r="U11" s="12">
        <f>U10*(1-HOTEL_UNDIST_PCT-HOTEL_MGMT_PCT-REPL_RESERVE_PCT)</f>
        <v/>
      </c>
      <c r="V11" s="12">
        <f>V10*(1-HOTEL_UNDIST_PCT-HOTEL_MGMT_PCT-REPL_RESERVE_PCT)</f>
        <v/>
      </c>
      <c r="W11" s="12">
        <f>W10*(1-HOTEL_UNDIST_PCT-HOTEL_MGMT_PCT-REPL_RESERVE_PCT)</f>
        <v/>
      </c>
      <c r="X11" s="12">
        <f>X10*(1-HOTEL_UNDIST_PCT-HOTEL_MGMT_PCT-REPL_RESERVE_PCT)</f>
        <v/>
      </c>
      <c r="Y11" s="12">
        <f>Y10*(1-HOTEL_UNDIST_PCT-HOTEL_MGMT_PCT-REPL_RESERVE_PCT)</f>
        <v/>
      </c>
      <c r="Z11" s="12">
        <f>Z10*(1-HOTEL_UNDIST_PCT-HOTEL_MGMT_PCT-REPL_RESERVE_PCT)</f>
        <v/>
      </c>
      <c r="AA11" s="12">
        <f>AA10*(1-HOTEL_UNDIST_PCT-HOTEL_MGMT_PCT-REPL_RESERVE_PCT)</f>
        <v/>
      </c>
      <c r="AB11" s="12">
        <f>AB10*(1-HOTEL_UNDIST_PCT-HOTEL_MGMT_PCT-REPL_RESERVE_PCT)</f>
        <v/>
      </c>
      <c r="AC11" s="12">
        <f>AC10*(1-HOTEL_UNDIST_PCT-HOTEL_MGMT_PCT-REPL_RESERVE_PCT)</f>
        <v/>
      </c>
      <c r="AD11" s="12">
        <f>AD10*(1-HOTEL_UNDIST_PCT-HOTEL_MGMT_PCT-REPL_RESERVE_PCT)</f>
        <v/>
      </c>
      <c r="AE11" s="12">
        <f>AE10*(1-HOTEL_UNDIST_PCT-HOTEL_MGMT_PCT-REPL_RESERVE_PCT)</f>
        <v/>
      </c>
      <c r="AF11" s="12">
        <f>AF10*(1-HOTEL_UNDIST_PCT-HOTEL_MGMT_PCT-REPL_RESERVE_PCT)</f>
        <v/>
      </c>
      <c r="AG11" s="12">
        <f>AG10*(1-HOTEL_UNDIST_PCT-HOTEL_MGMT_PCT-REPL_RESERVE_PCT)</f>
        <v/>
      </c>
      <c r="AH11" s="12">
        <f>AH10*(1-HOTEL_UNDIST_PCT-HOTEL_MGMT_PCT-REPL_RESERVE_PCT)</f>
        <v/>
      </c>
      <c r="AI11" s="12">
        <f>AI10*(1-HOTEL_UNDIST_PCT-HOTEL_MGMT_PCT-REPL_RESERVE_PCT)</f>
        <v/>
      </c>
      <c r="AJ11" s="12">
        <f>AJ10*(1-HOTEL_UNDIST_PCT-HOTEL_MGMT_PCT-REPL_RESERVE_PCT)</f>
        <v/>
      </c>
      <c r="AK11" s="12">
        <f>AK10*(1-HOTEL_UNDIST_PCT-HOTEL_MGMT_PCT-REPL_RESERVE_PCT)</f>
        <v/>
      </c>
      <c r="AL11" s="12">
        <f>AL10*(1-HOTEL_UNDIST_PCT-HOTEL_MGMT_PCT-REPL_RESERVE_PCT)</f>
        <v/>
      </c>
      <c r="AM11" s="12">
        <f>AM10*(1-HOTEL_UNDIST_PCT-HOTEL_MGMT_PCT-REPL_RESERVE_PCT)</f>
        <v/>
      </c>
      <c r="AN11" s="12">
        <f>AN10*(1-HOTEL_UNDIST_PCT-HOTEL_MGMT_PCT-REPL_RESERVE_PCT)</f>
        <v/>
      </c>
      <c r="AO11" s="12">
        <f>AO10*(1-HOTEL_UNDIST_PCT-HOTEL_MGMT_PCT-REPL_RESERVE_PCT)</f>
        <v/>
      </c>
      <c r="AP11" s="12">
        <f>AP10*(1-HOTEL_UNDIST_PCT-HOTEL_MGMT_PCT-REPL_RESERVE_PCT)</f>
        <v/>
      </c>
      <c r="AQ11" s="12">
        <f>AQ10*(1-HOTEL_UNDIST_PCT-HOTEL_MGMT_PCT-REPL_RESERVE_PCT)</f>
        <v/>
      </c>
      <c r="AR11" s="12">
        <f>AR10*(1-HOTEL_UNDIST_PCT-HOTEL_MGMT_PCT-REPL_RESERVE_PCT)</f>
        <v/>
      </c>
      <c r="AS11" s="12">
        <f>AS10*(1-HOTEL_UNDIST_PCT-HOTEL_MGMT_PCT-REPL_RESERVE_PCT)</f>
        <v/>
      </c>
      <c r="AT11" s="12">
        <f>AT10*(1-HOTEL_UNDIST_PCT-HOTEL_MGMT_PCT-REPL_RESERVE_PCT)</f>
        <v/>
      </c>
      <c r="AU11" s="12">
        <f>AU10*(1-HOTEL_UNDIST_PCT-HOTEL_MGMT_PCT-REPL_RESERVE_PCT)</f>
        <v/>
      </c>
      <c r="AV11" s="12">
        <f>AV10*(1-HOTEL_UNDIST_PCT-HOTEL_MGMT_PCT-REPL_RESERVE_PCT)</f>
        <v/>
      </c>
      <c r="AW11" s="12">
        <f>AW10*(1-HOTEL_UNDIST_PCT-HOTEL_MGMT_PCT-REPL_RESERVE_PCT)</f>
        <v/>
      </c>
      <c r="AX11" s="12">
        <f>AX10*(1-HOTEL_UNDIST_PCT-HOTEL_MGMT_PCT-REPL_RESERVE_PCT)</f>
        <v/>
      </c>
      <c r="AY11" s="12">
        <f>AY10*(1-HOTEL_UNDIST_PCT-HOTEL_MGMT_PCT-REPL_RESERVE_PCT)</f>
        <v/>
      </c>
      <c r="AZ11" s="12">
        <f>AZ10*(1-HOTEL_UNDIST_PCT-HOTEL_MGMT_PCT-REPL_RESERVE_PCT)</f>
        <v/>
      </c>
      <c r="BA11" s="12">
        <f>BA10*(1-HOTEL_UNDIST_PCT-HOTEL_MGMT_PCT-REPL_RESERVE_PCT)</f>
        <v/>
      </c>
      <c r="BB11" s="12">
        <f>BB10*(1-HOTEL_UNDIST_PCT-HOTEL_MGMT_PCT-REPL_RESERVE_PCT)</f>
        <v/>
      </c>
      <c r="BC11" s="12">
        <f>BC10*(1-HOTEL_UNDIST_PCT-HOTEL_MGMT_PCT-REPL_RESERVE_PCT)</f>
        <v/>
      </c>
      <c r="BD11" s="12">
        <f>BD10*(1-HOTEL_UNDIST_PCT-HOTEL_MGMT_PCT-REPL_RESERVE_PCT)</f>
        <v/>
      </c>
      <c r="BE11" s="12">
        <f>BE10*(1-HOTEL_UNDIST_PCT-HOTEL_MGMT_PCT-REPL_RESERVE_PCT)</f>
        <v/>
      </c>
      <c r="BF11" s="12">
        <f>BF10*(1-HOTEL_UNDIST_PCT-HOTEL_MGMT_PCT-REPL_RESERVE_PCT)</f>
        <v/>
      </c>
      <c r="BG11" s="12">
        <f>BG10*(1-HOTEL_UNDIST_PCT-HOTEL_MGMT_PCT-REPL_RESERVE_PCT)</f>
        <v/>
      </c>
      <c r="BH11" s="12">
        <f>BH10*(1-HOTEL_UNDIST_PCT-HOTEL_MGMT_PCT-REPL_RESERVE_PCT)</f>
        <v/>
      </c>
      <c r="BI11" s="12">
        <f>BI10*(1-HOTEL_UNDIST_PCT-HOTEL_MGMT_PCT-REPL_RESERVE_PCT)</f>
        <v/>
      </c>
      <c r="BJ11" s="12">
        <f>BJ10*(1-HOTEL_UNDIST_PCT-HOTEL_MGMT_PCT-REPL_RESERVE_PCT)</f>
        <v/>
      </c>
      <c r="BK11" s="12">
        <f>BK10*(1-HOTEL_UNDIST_PCT-HOTEL_MGMT_PCT-REPL_RESERVE_PCT)</f>
        <v/>
      </c>
      <c r="BL11" s="12">
        <f>BL10*(1-HOTEL_UNDIST_PCT-HOTEL_MGMT_PCT-REPL_RESERVE_PCT)</f>
        <v/>
      </c>
      <c r="BM11" s="12">
        <f>BM10*(1-HOTEL_UNDIST_PCT-HOTEL_MGMT_PCT-REPL_RESERVE_PCT)</f>
        <v/>
      </c>
      <c r="BN11" s="12">
        <f>BN10*(1-HOTEL_UNDIST_PCT-HOTEL_MGMT_PCT-REPL_RESERVE_PCT)</f>
        <v/>
      </c>
      <c r="BO11" s="12">
        <f>BO10*(1-HOTEL_UNDIST_PCT-HOTEL_MGMT_PCT-REPL_RESERVE_PCT)</f>
        <v/>
      </c>
      <c r="BP11" s="12">
        <f>BP10*(1-HOTEL_UNDIST_PCT-HOTEL_MGMT_PCT-REPL_RESERVE_PCT)</f>
        <v/>
      </c>
      <c r="BQ11" s="12">
        <f>BQ10*(1-HOTEL_UNDIST_PCT-HOTEL_MGMT_PCT-REPL_RESERVE_PCT)</f>
        <v/>
      </c>
      <c r="BR11" s="12">
        <f>BR10*(1-HOTEL_UNDIST_PCT-HOTEL_MGMT_PCT-REPL_RESERVE_PCT)</f>
        <v/>
      </c>
      <c r="BS11" s="12">
        <f>BS10*(1-HOTEL_UNDIST_PCT-HOTEL_MGMT_PCT-REPL_RESERVE_PCT)</f>
        <v/>
      </c>
      <c r="BT11" s="12">
        <f>BT10*(1-HOTEL_UNDIST_PCT-HOTEL_MGMT_PCT-REPL_RESERVE_PCT)</f>
        <v/>
      </c>
      <c r="BU11" s="12">
        <f>BU10*(1-HOTEL_UNDIST_PCT-HOTEL_MGMT_PCT-REPL_RESERVE_PCT)</f>
        <v/>
      </c>
      <c r="BV11" s="12">
        <f>BV10*(1-HOTEL_UNDIST_PCT-HOTEL_MGMT_PCT-REPL_RESERVE_PCT)</f>
        <v/>
      </c>
      <c r="BW11" s="12">
        <f>BW10*(1-HOTEL_UNDIST_PCT-HOTEL_MGMT_PCT-REPL_RESERVE_PCT)</f>
        <v/>
      </c>
      <c r="BX11" s="12">
        <f>BX10*(1-HOTEL_UNDIST_PCT-HOTEL_MGMT_PCT-REPL_RESERVE_PCT)</f>
        <v/>
      </c>
      <c r="BY11" s="12">
        <f>BY10*(1-HOTEL_UNDIST_PCT-HOTEL_MGMT_PCT-REPL_RESERVE_PCT)</f>
        <v/>
      </c>
      <c r="BZ11" s="12">
        <f>BZ10*(1-HOTEL_UNDIST_PCT-HOTEL_MGMT_PCT-REPL_RESERVE_PCT)</f>
        <v/>
      </c>
      <c r="CA11" s="12">
        <f>CA10*(1-HOTEL_UNDIST_PCT-HOTEL_MGMT_PCT-REPL_RESERVE_PCT)</f>
        <v/>
      </c>
      <c r="CB11" s="12">
        <f>CB10*(1-HOTEL_UNDIST_PCT-HOTEL_MGMT_PCT-REPL_RESERVE_PCT)</f>
        <v/>
      </c>
      <c r="CC11" s="12">
        <f>CC10*(1-HOTEL_UNDIST_PCT-HOTEL_MGMT_PCT-REPL_RESERVE_PCT)</f>
        <v/>
      </c>
      <c r="CD11" s="12">
        <f>CD10*(1-HOTEL_UNDIST_PCT-HOTEL_MGMT_PCT-REPL_RESERVE_PCT)</f>
        <v/>
      </c>
      <c r="CE11" s="12">
        <f>CE10*(1-HOTEL_UNDIST_PCT-HOTEL_MGMT_PCT-REPL_RESERVE_PCT)</f>
        <v/>
      </c>
      <c r="CF11" s="12">
        <f>CF10*(1-HOTEL_UNDIST_PCT-HOTEL_MGMT_PCT-REPL_RESERVE_PCT)</f>
        <v/>
      </c>
      <c r="CG11" s="12">
        <f>CG10*(1-HOTEL_UNDIST_PCT-HOTEL_MGMT_PCT-REPL_RESERVE_PCT)</f>
        <v/>
      </c>
      <c r="CH11" s="12">
        <f>CH10*(1-HOTEL_UNDIST_PCT-HOTEL_MGMT_PCT-REPL_RESERVE_PCT)</f>
        <v/>
      </c>
    </row>
  </sheetData>
  <autoFilter ref="A2:CH2"/>
  <pageMargins left="0.4" right="0.4" top="0.6" bottom="0.5" header="0.25" footer="0.25"/>
  <pageSetup orientation="landscape" paperSize="3" scale="55" fitToHeight="0" fitToWidth="1"/>
  <headerFooter>
    <oddHeader>&amp;LElite Luxury Mixed-Use  |  Illustrative template&amp;CHotelProForma</oddHeader>
    <oddFooter>&amp;LNot a live deal  |  Not an offering  |  Not investment advice&amp;RPage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H24"/>
  <sheetViews>
    <sheetView view="pageBreakPreview" zoomScale="8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</cols>
  <sheetData>
    <row r="1" ht="22" customHeight="1">
      <c r="A1" s="1" t="inlineStr">
        <is>
          <t>ConstructionDebt</t>
        </is>
      </c>
    </row>
    <row r="2">
      <c r="A2" s="3" t="inlineStr">
        <is>
          <t>Month</t>
        </is>
      </c>
      <c r="B2" t="inlineStr">
        <is>
          <t>index</t>
        </is>
      </c>
      <c r="C2" s="15">
        <f>COLUMN()-2</f>
        <v/>
      </c>
      <c r="D2" s="15">
        <f>COLUMN()-2</f>
        <v/>
      </c>
      <c r="E2" s="15">
        <f>COLUMN()-2</f>
        <v/>
      </c>
      <c r="F2" s="15">
        <f>COLUMN()-2</f>
        <v/>
      </c>
      <c r="G2" s="15">
        <f>COLUMN()-2</f>
        <v/>
      </c>
      <c r="H2" s="15">
        <f>COLUMN()-2</f>
        <v/>
      </c>
      <c r="I2" s="15">
        <f>COLUMN()-2</f>
        <v/>
      </c>
      <c r="J2" s="15">
        <f>COLUMN()-2</f>
        <v/>
      </c>
      <c r="K2" s="15">
        <f>COLUMN()-2</f>
        <v/>
      </c>
      <c r="L2" s="15">
        <f>COLUMN()-2</f>
        <v/>
      </c>
      <c r="M2" s="15">
        <f>COLUMN()-2</f>
        <v/>
      </c>
      <c r="N2" s="15">
        <f>COLUMN()-2</f>
        <v/>
      </c>
      <c r="O2" s="15">
        <f>COLUMN()-2</f>
        <v/>
      </c>
      <c r="P2" s="15">
        <f>COLUMN()-2</f>
        <v/>
      </c>
      <c r="Q2" s="15">
        <f>COLUMN()-2</f>
        <v/>
      </c>
      <c r="R2" s="15">
        <f>COLUMN()-2</f>
        <v/>
      </c>
      <c r="S2" s="15">
        <f>COLUMN()-2</f>
        <v/>
      </c>
      <c r="T2" s="15">
        <f>COLUMN()-2</f>
        <v/>
      </c>
      <c r="U2" s="15">
        <f>COLUMN()-2</f>
        <v/>
      </c>
      <c r="V2" s="15">
        <f>COLUMN()-2</f>
        <v/>
      </c>
      <c r="W2" s="15">
        <f>COLUMN()-2</f>
        <v/>
      </c>
      <c r="X2" s="15">
        <f>COLUMN()-2</f>
        <v/>
      </c>
      <c r="Y2" s="15">
        <f>COLUMN()-2</f>
        <v/>
      </c>
      <c r="Z2" s="15">
        <f>COLUMN()-2</f>
        <v/>
      </c>
      <c r="AA2" s="15">
        <f>COLUMN()-2</f>
        <v/>
      </c>
      <c r="AB2" s="15">
        <f>COLUMN()-2</f>
        <v/>
      </c>
      <c r="AC2" s="15">
        <f>COLUMN()-2</f>
        <v/>
      </c>
      <c r="AD2" s="15">
        <f>COLUMN()-2</f>
        <v/>
      </c>
      <c r="AE2" s="15">
        <f>COLUMN()-2</f>
        <v/>
      </c>
      <c r="AF2" s="15">
        <f>COLUMN()-2</f>
        <v/>
      </c>
      <c r="AG2" s="15">
        <f>COLUMN()-2</f>
        <v/>
      </c>
      <c r="AH2" s="15">
        <f>COLUMN()-2</f>
        <v/>
      </c>
      <c r="AI2" s="15">
        <f>COLUMN()-2</f>
        <v/>
      </c>
      <c r="AJ2" s="15">
        <f>COLUMN()-2</f>
        <v/>
      </c>
      <c r="AK2" s="15">
        <f>COLUMN()-2</f>
        <v/>
      </c>
      <c r="AL2" s="15">
        <f>COLUMN()-2</f>
        <v/>
      </c>
      <c r="AM2" s="15">
        <f>COLUMN()-2</f>
        <v/>
      </c>
      <c r="AN2" s="15">
        <f>COLUMN()-2</f>
        <v/>
      </c>
      <c r="AO2" s="15">
        <f>COLUMN()-2</f>
        <v/>
      </c>
      <c r="AP2" s="15">
        <f>COLUMN()-2</f>
        <v/>
      </c>
      <c r="AQ2" s="15">
        <f>COLUMN()-2</f>
        <v/>
      </c>
      <c r="AR2" s="15">
        <f>COLUMN()-2</f>
        <v/>
      </c>
      <c r="AS2" s="15">
        <f>COLUMN()-2</f>
        <v/>
      </c>
      <c r="AT2" s="15">
        <f>COLUMN()-2</f>
        <v/>
      </c>
      <c r="AU2" s="15">
        <f>COLUMN()-2</f>
        <v/>
      </c>
      <c r="AV2" s="15">
        <f>COLUMN()-2</f>
        <v/>
      </c>
      <c r="AW2" s="15">
        <f>COLUMN()-2</f>
        <v/>
      </c>
      <c r="AX2" s="15">
        <f>COLUMN()-2</f>
        <v/>
      </c>
      <c r="AY2" s="15">
        <f>COLUMN()-2</f>
        <v/>
      </c>
      <c r="AZ2" s="15">
        <f>COLUMN()-2</f>
        <v/>
      </c>
      <c r="BA2" s="15">
        <f>COLUMN()-2</f>
        <v/>
      </c>
      <c r="BB2" s="15">
        <f>COLUMN()-2</f>
        <v/>
      </c>
      <c r="BC2" s="15">
        <f>COLUMN()-2</f>
        <v/>
      </c>
      <c r="BD2" s="15">
        <f>COLUMN()-2</f>
        <v/>
      </c>
      <c r="BE2" s="15">
        <f>COLUMN()-2</f>
        <v/>
      </c>
      <c r="BF2" s="15">
        <f>COLUMN()-2</f>
        <v/>
      </c>
      <c r="BG2" s="15">
        <f>COLUMN()-2</f>
        <v/>
      </c>
      <c r="BH2" s="15">
        <f>COLUMN()-2</f>
        <v/>
      </c>
      <c r="BI2" s="15">
        <f>COLUMN()-2</f>
        <v/>
      </c>
      <c r="BJ2" s="15">
        <f>COLUMN()-2</f>
        <v/>
      </c>
      <c r="BK2" s="15">
        <f>COLUMN()-2</f>
        <v/>
      </c>
      <c r="BL2" s="15">
        <f>COLUMN()-2</f>
        <v/>
      </c>
      <c r="BM2" s="15">
        <f>COLUMN()-2</f>
        <v/>
      </c>
      <c r="BN2" s="15">
        <f>COLUMN()-2</f>
        <v/>
      </c>
      <c r="BO2" s="15">
        <f>COLUMN()-2</f>
        <v/>
      </c>
      <c r="BP2" s="15">
        <f>COLUMN()-2</f>
        <v/>
      </c>
      <c r="BQ2" s="15">
        <f>COLUMN()-2</f>
        <v/>
      </c>
      <c r="BR2" s="15">
        <f>COLUMN()-2</f>
        <v/>
      </c>
      <c r="BS2" s="15">
        <f>COLUMN()-2</f>
        <v/>
      </c>
      <c r="BT2" s="15">
        <f>COLUMN()-2</f>
        <v/>
      </c>
      <c r="BU2" s="15">
        <f>COLUMN()-2</f>
        <v/>
      </c>
      <c r="BV2" s="15">
        <f>COLUMN()-2</f>
        <v/>
      </c>
      <c r="BW2" s="15">
        <f>COLUMN()-2</f>
        <v/>
      </c>
      <c r="BX2" s="15">
        <f>COLUMN()-2</f>
        <v/>
      </c>
      <c r="BY2" s="15">
        <f>COLUMN()-2</f>
        <v/>
      </c>
      <c r="BZ2" s="15">
        <f>COLUMN()-2</f>
        <v/>
      </c>
      <c r="CA2" s="15">
        <f>COLUMN()-2</f>
        <v/>
      </c>
      <c r="CB2" s="15">
        <f>COLUMN()-2</f>
        <v/>
      </c>
      <c r="CC2" s="15">
        <f>COLUMN()-2</f>
        <v/>
      </c>
      <c r="CD2" s="15">
        <f>COLUMN()-2</f>
        <v/>
      </c>
      <c r="CE2" s="15">
        <f>COLUMN()-2</f>
        <v/>
      </c>
      <c r="CF2" s="15">
        <f>COLUMN()-2</f>
        <v/>
      </c>
      <c r="CG2" s="15">
        <f>COLUMN()-2</f>
        <v/>
      </c>
      <c r="CH2" s="15">
        <f>COLUMN()-2</f>
        <v/>
      </c>
    </row>
    <row r="3">
      <c r="A3" s="3" t="inlineStr">
        <is>
          <t>Date</t>
        </is>
      </c>
      <c r="B3" t="inlineStr">
        <is>
          <t>month-end</t>
        </is>
      </c>
      <c r="C3" s="11">
        <f>EOMONTH(DATE(2026,1,1),C2-1)</f>
        <v/>
      </c>
      <c r="D3" s="11">
        <f>EOMONTH(DATE(2026,1,1),D2-1)</f>
        <v/>
      </c>
      <c r="E3" s="11">
        <f>EOMONTH(DATE(2026,1,1),E2-1)</f>
        <v/>
      </c>
      <c r="F3" s="11">
        <f>EOMONTH(DATE(2026,1,1),F2-1)</f>
        <v/>
      </c>
      <c r="G3" s="11">
        <f>EOMONTH(DATE(2026,1,1),G2-1)</f>
        <v/>
      </c>
      <c r="H3" s="11">
        <f>EOMONTH(DATE(2026,1,1),H2-1)</f>
        <v/>
      </c>
      <c r="I3" s="11">
        <f>EOMONTH(DATE(2026,1,1),I2-1)</f>
        <v/>
      </c>
      <c r="J3" s="11">
        <f>EOMONTH(DATE(2026,1,1),J2-1)</f>
        <v/>
      </c>
      <c r="K3" s="11">
        <f>EOMONTH(DATE(2026,1,1),K2-1)</f>
        <v/>
      </c>
      <c r="L3" s="11">
        <f>EOMONTH(DATE(2026,1,1),L2-1)</f>
        <v/>
      </c>
      <c r="M3" s="11">
        <f>EOMONTH(DATE(2026,1,1),M2-1)</f>
        <v/>
      </c>
      <c r="N3" s="11">
        <f>EOMONTH(DATE(2026,1,1),N2-1)</f>
        <v/>
      </c>
      <c r="O3" s="11">
        <f>EOMONTH(DATE(2026,1,1),O2-1)</f>
        <v/>
      </c>
      <c r="P3" s="11">
        <f>EOMONTH(DATE(2026,1,1),P2-1)</f>
        <v/>
      </c>
      <c r="Q3" s="11">
        <f>EOMONTH(DATE(2026,1,1),Q2-1)</f>
        <v/>
      </c>
      <c r="R3" s="11">
        <f>EOMONTH(DATE(2026,1,1),R2-1)</f>
        <v/>
      </c>
      <c r="S3" s="11">
        <f>EOMONTH(DATE(2026,1,1),S2-1)</f>
        <v/>
      </c>
      <c r="T3" s="11">
        <f>EOMONTH(DATE(2026,1,1),T2-1)</f>
        <v/>
      </c>
      <c r="U3" s="11">
        <f>EOMONTH(DATE(2026,1,1),U2-1)</f>
        <v/>
      </c>
      <c r="V3" s="11">
        <f>EOMONTH(DATE(2026,1,1),V2-1)</f>
        <v/>
      </c>
      <c r="W3" s="11">
        <f>EOMONTH(DATE(2026,1,1),W2-1)</f>
        <v/>
      </c>
      <c r="X3" s="11">
        <f>EOMONTH(DATE(2026,1,1),X2-1)</f>
        <v/>
      </c>
      <c r="Y3" s="11">
        <f>EOMONTH(DATE(2026,1,1),Y2-1)</f>
        <v/>
      </c>
      <c r="Z3" s="11">
        <f>EOMONTH(DATE(2026,1,1),Z2-1)</f>
        <v/>
      </c>
      <c r="AA3" s="11">
        <f>EOMONTH(DATE(2026,1,1),AA2-1)</f>
        <v/>
      </c>
      <c r="AB3" s="11">
        <f>EOMONTH(DATE(2026,1,1),AB2-1)</f>
        <v/>
      </c>
      <c r="AC3" s="11">
        <f>EOMONTH(DATE(2026,1,1),AC2-1)</f>
        <v/>
      </c>
      <c r="AD3" s="11">
        <f>EOMONTH(DATE(2026,1,1),AD2-1)</f>
        <v/>
      </c>
      <c r="AE3" s="11">
        <f>EOMONTH(DATE(2026,1,1),AE2-1)</f>
        <v/>
      </c>
      <c r="AF3" s="11">
        <f>EOMONTH(DATE(2026,1,1),AF2-1)</f>
        <v/>
      </c>
      <c r="AG3" s="11">
        <f>EOMONTH(DATE(2026,1,1),AG2-1)</f>
        <v/>
      </c>
      <c r="AH3" s="11">
        <f>EOMONTH(DATE(2026,1,1),AH2-1)</f>
        <v/>
      </c>
      <c r="AI3" s="11">
        <f>EOMONTH(DATE(2026,1,1),AI2-1)</f>
        <v/>
      </c>
      <c r="AJ3" s="11">
        <f>EOMONTH(DATE(2026,1,1),AJ2-1)</f>
        <v/>
      </c>
      <c r="AK3" s="11">
        <f>EOMONTH(DATE(2026,1,1),AK2-1)</f>
        <v/>
      </c>
      <c r="AL3" s="11">
        <f>EOMONTH(DATE(2026,1,1),AL2-1)</f>
        <v/>
      </c>
      <c r="AM3" s="11">
        <f>EOMONTH(DATE(2026,1,1),AM2-1)</f>
        <v/>
      </c>
      <c r="AN3" s="11">
        <f>EOMONTH(DATE(2026,1,1),AN2-1)</f>
        <v/>
      </c>
      <c r="AO3" s="11">
        <f>EOMONTH(DATE(2026,1,1),AO2-1)</f>
        <v/>
      </c>
      <c r="AP3" s="11">
        <f>EOMONTH(DATE(2026,1,1),AP2-1)</f>
        <v/>
      </c>
      <c r="AQ3" s="11">
        <f>EOMONTH(DATE(2026,1,1),AQ2-1)</f>
        <v/>
      </c>
      <c r="AR3" s="11">
        <f>EOMONTH(DATE(2026,1,1),AR2-1)</f>
        <v/>
      </c>
      <c r="AS3" s="11">
        <f>EOMONTH(DATE(2026,1,1),AS2-1)</f>
        <v/>
      </c>
      <c r="AT3" s="11">
        <f>EOMONTH(DATE(2026,1,1),AT2-1)</f>
        <v/>
      </c>
      <c r="AU3" s="11">
        <f>EOMONTH(DATE(2026,1,1),AU2-1)</f>
        <v/>
      </c>
      <c r="AV3" s="11">
        <f>EOMONTH(DATE(2026,1,1),AV2-1)</f>
        <v/>
      </c>
      <c r="AW3" s="11">
        <f>EOMONTH(DATE(2026,1,1),AW2-1)</f>
        <v/>
      </c>
      <c r="AX3" s="11">
        <f>EOMONTH(DATE(2026,1,1),AX2-1)</f>
        <v/>
      </c>
      <c r="AY3" s="11">
        <f>EOMONTH(DATE(2026,1,1),AY2-1)</f>
        <v/>
      </c>
      <c r="AZ3" s="11">
        <f>EOMONTH(DATE(2026,1,1),AZ2-1)</f>
        <v/>
      </c>
      <c r="BA3" s="11">
        <f>EOMONTH(DATE(2026,1,1),BA2-1)</f>
        <v/>
      </c>
      <c r="BB3" s="11">
        <f>EOMONTH(DATE(2026,1,1),BB2-1)</f>
        <v/>
      </c>
      <c r="BC3" s="11">
        <f>EOMONTH(DATE(2026,1,1),BC2-1)</f>
        <v/>
      </c>
      <c r="BD3" s="11">
        <f>EOMONTH(DATE(2026,1,1),BD2-1)</f>
        <v/>
      </c>
      <c r="BE3" s="11">
        <f>EOMONTH(DATE(2026,1,1),BE2-1)</f>
        <v/>
      </c>
      <c r="BF3" s="11">
        <f>EOMONTH(DATE(2026,1,1),BF2-1)</f>
        <v/>
      </c>
      <c r="BG3" s="11">
        <f>EOMONTH(DATE(2026,1,1),BG2-1)</f>
        <v/>
      </c>
      <c r="BH3" s="11">
        <f>EOMONTH(DATE(2026,1,1),BH2-1)</f>
        <v/>
      </c>
      <c r="BI3" s="11">
        <f>EOMONTH(DATE(2026,1,1),BI2-1)</f>
        <v/>
      </c>
      <c r="BJ3" s="11">
        <f>EOMONTH(DATE(2026,1,1),BJ2-1)</f>
        <v/>
      </c>
      <c r="BK3" s="11">
        <f>EOMONTH(DATE(2026,1,1),BK2-1)</f>
        <v/>
      </c>
      <c r="BL3" s="11">
        <f>EOMONTH(DATE(2026,1,1),BL2-1)</f>
        <v/>
      </c>
      <c r="BM3" s="11">
        <f>EOMONTH(DATE(2026,1,1),BM2-1)</f>
        <v/>
      </c>
      <c r="BN3" s="11">
        <f>EOMONTH(DATE(2026,1,1),BN2-1)</f>
        <v/>
      </c>
      <c r="BO3" s="11">
        <f>EOMONTH(DATE(2026,1,1),BO2-1)</f>
        <v/>
      </c>
      <c r="BP3" s="11">
        <f>EOMONTH(DATE(2026,1,1),BP2-1)</f>
        <v/>
      </c>
      <c r="BQ3" s="11">
        <f>EOMONTH(DATE(2026,1,1),BQ2-1)</f>
        <v/>
      </c>
      <c r="BR3" s="11">
        <f>EOMONTH(DATE(2026,1,1),BR2-1)</f>
        <v/>
      </c>
      <c r="BS3" s="11">
        <f>EOMONTH(DATE(2026,1,1),BS2-1)</f>
        <v/>
      </c>
      <c r="BT3" s="11">
        <f>EOMONTH(DATE(2026,1,1),BT2-1)</f>
        <v/>
      </c>
      <c r="BU3" s="11">
        <f>EOMONTH(DATE(2026,1,1),BU2-1)</f>
        <v/>
      </c>
      <c r="BV3" s="11">
        <f>EOMONTH(DATE(2026,1,1),BV2-1)</f>
        <v/>
      </c>
      <c r="BW3" s="11">
        <f>EOMONTH(DATE(2026,1,1),BW2-1)</f>
        <v/>
      </c>
      <c r="BX3" s="11">
        <f>EOMONTH(DATE(2026,1,1),BX2-1)</f>
        <v/>
      </c>
      <c r="BY3" s="11">
        <f>EOMONTH(DATE(2026,1,1),BY2-1)</f>
        <v/>
      </c>
      <c r="BZ3" s="11">
        <f>EOMONTH(DATE(2026,1,1),BZ2-1)</f>
        <v/>
      </c>
      <c r="CA3" s="11">
        <f>EOMONTH(DATE(2026,1,1),CA2-1)</f>
        <v/>
      </c>
      <c r="CB3" s="11">
        <f>EOMONTH(DATE(2026,1,1),CB2-1)</f>
        <v/>
      </c>
      <c r="CC3" s="11">
        <f>EOMONTH(DATE(2026,1,1),CC2-1)</f>
        <v/>
      </c>
      <c r="CD3" s="11">
        <f>EOMONTH(DATE(2026,1,1),CD2-1)</f>
        <v/>
      </c>
      <c r="CE3" s="11">
        <f>EOMONTH(DATE(2026,1,1),CE2-1)</f>
        <v/>
      </c>
      <c r="CF3" s="11">
        <f>EOMONTH(DATE(2026,1,1),CF2-1)</f>
        <v/>
      </c>
      <c r="CG3" s="11">
        <f>EOMONTH(DATE(2026,1,1),CG2-1)</f>
        <v/>
      </c>
      <c r="CH3" s="11">
        <f>EOMONTH(DATE(2026,1,1),CH2-1)</f>
        <v/>
      </c>
    </row>
    <row r="4">
      <c r="A4" s="3" t="inlineStr">
        <is>
          <t>SOFR forward</t>
        </is>
      </c>
      <c r="B4" s="4" t="inlineStr">
        <is>
          <t>%</t>
        </is>
      </c>
      <c r="C4" s="13">
        <f>INDEX(SOFR!$C$2:$C$85,C2)</f>
        <v/>
      </c>
      <c r="D4" s="13">
        <f>INDEX(SOFR!$C$2:$C$85,D2)</f>
        <v/>
      </c>
      <c r="E4" s="13">
        <f>INDEX(SOFR!$C$2:$C$85,E2)</f>
        <v/>
      </c>
      <c r="F4" s="13">
        <f>INDEX(SOFR!$C$2:$C$85,F2)</f>
        <v/>
      </c>
      <c r="G4" s="13">
        <f>INDEX(SOFR!$C$2:$C$85,G2)</f>
        <v/>
      </c>
      <c r="H4" s="13">
        <f>INDEX(SOFR!$C$2:$C$85,H2)</f>
        <v/>
      </c>
      <c r="I4" s="13">
        <f>INDEX(SOFR!$C$2:$C$85,I2)</f>
        <v/>
      </c>
      <c r="J4" s="13">
        <f>INDEX(SOFR!$C$2:$C$85,J2)</f>
        <v/>
      </c>
      <c r="K4" s="13">
        <f>INDEX(SOFR!$C$2:$C$85,K2)</f>
        <v/>
      </c>
      <c r="L4" s="13">
        <f>INDEX(SOFR!$C$2:$C$85,L2)</f>
        <v/>
      </c>
      <c r="M4" s="13">
        <f>INDEX(SOFR!$C$2:$C$85,M2)</f>
        <v/>
      </c>
      <c r="N4" s="13">
        <f>INDEX(SOFR!$C$2:$C$85,N2)</f>
        <v/>
      </c>
      <c r="O4" s="13">
        <f>INDEX(SOFR!$C$2:$C$85,O2)</f>
        <v/>
      </c>
      <c r="P4" s="13">
        <f>INDEX(SOFR!$C$2:$C$85,P2)</f>
        <v/>
      </c>
      <c r="Q4" s="13">
        <f>INDEX(SOFR!$C$2:$C$85,Q2)</f>
        <v/>
      </c>
      <c r="R4" s="13">
        <f>INDEX(SOFR!$C$2:$C$85,R2)</f>
        <v/>
      </c>
      <c r="S4" s="13">
        <f>INDEX(SOFR!$C$2:$C$85,S2)</f>
        <v/>
      </c>
      <c r="T4" s="13">
        <f>INDEX(SOFR!$C$2:$C$85,T2)</f>
        <v/>
      </c>
      <c r="U4" s="13">
        <f>INDEX(SOFR!$C$2:$C$85,U2)</f>
        <v/>
      </c>
      <c r="V4" s="13">
        <f>INDEX(SOFR!$C$2:$C$85,V2)</f>
        <v/>
      </c>
      <c r="W4" s="13">
        <f>INDEX(SOFR!$C$2:$C$85,W2)</f>
        <v/>
      </c>
      <c r="X4" s="13">
        <f>INDEX(SOFR!$C$2:$C$85,X2)</f>
        <v/>
      </c>
      <c r="Y4" s="13">
        <f>INDEX(SOFR!$C$2:$C$85,Y2)</f>
        <v/>
      </c>
      <c r="Z4" s="13">
        <f>INDEX(SOFR!$C$2:$C$85,Z2)</f>
        <v/>
      </c>
      <c r="AA4" s="13">
        <f>INDEX(SOFR!$C$2:$C$85,AA2)</f>
        <v/>
      </c>
      <c r="AB4" s="13">
        <f>INDEX(SOFR!$C$2:$C$85,AB2)</f>
        <v/>
      </c>
      <c r="AC4" s="13">
        <f>INDEX(SOFR!$C$2:$C$85,AC2)</f>
        <v/>
      </c>
      <c r="AD4" s="13">
        <f>INDEX(SOFR!$C$2:$C$85,AD2)</f>
        <v/>
      </c>
      <c r="AE4" s="13">
        <f>INDEX(SOFR!$C$2:$C$85,AE2)</f>
        <v/>
      </c>
      <c r="AF4" s="13">
        <f>INDEX(SOFR!$C$2:$C$85,AF2)</f>
        <v/>
      </c>
      <c r="AG4" s="13">
        <f>INDEX(SOFR!$C$2:$C$85,AG2)</f>
        <v/>
      </c>
      <c r="AH4" s="13">
        <f>INDEX(SOFR!$C$2:$C$85,AH2)</f>
        <v/>
      </c>
      <c r="AI4" s="13">
        <f>INDEX(SOFR!$C$2:$C$85,AI2)</f>
        <v/>
      </c>
      <c r="AJ4" s="13">
        <f>INDEX(SOFR!$C$2:$C$85,AJ2)</f>
        <v/>
      </c>
      <c r="AK4" s="13">
        <f>INDEX(SOFR!$C$2:$C$85,AK2)</f>
        <v/>
      </c>
      <c r="AL4" s="13">
        <f>INDEX(SOFR!$C$2:$C$85,AL2)</f>
        <v/>
      </c>
      <c r="AM4" s="13">
        <f>INDEX(SOFR!$C$2:$C$85,AM2)</f>
        <v/>
      </c>
      <c r="AN4" s="13">
        <f>INDEX(SOFR!$C$2:$C$85,AN2)</f>
        <v/>
      </c>
      <c r="AO4" s="13">
        <f>INDEX(SOFR!$C$2:$C$85,AO2)</f>
        <v/>
      </c>
      <c r="AP4" s="13">
        <f>INDEX(SOFR!$C$2:$C$85,AP2)</f>
        <v/>
      </c>
      <c r="AQ4" s="13">
        <f>INDEX(SOFR!$C$2:$C$85,AQ2)</f>
        <v/>
      </c>
      <c r="AR4" s="13">
        <f>INDEX(SOFR!$C$2:$C$85,AR2)</f>
        <v/>
      </c>
      <c r="AS4" s="13">
        <f>INDEX(SOFR!$C$2:$C$85,AS2)</f>
        <v/>
      </c>
      <c r="AT4" s="13">
        <f>INDEX(SOFR!$C$2:$C$85,AT2)</f>
        <v/>
      </c>
      <c r="AU4" s="13">
        <f>INDEX(SOFR!$C$2:$C$85,AU2)</f>
        <v/>
      </c>
      <c r="AV4" s="13">
        <f>INDEX(SOFR!$C$2:$C$85,AV2)</f>
        <v/>
      </c>
      <c r="AW4" s="13">
        <f>INDEX(SOFR!$C$2:$C$85,AW2)</f>
        <v/>
      </c>
      <c r="AX4" s="13">
        <f>INDEX(SOFR!$C$2:$C$85,AX2)</f>
        <v/>
      </c>
      <c r="AY4" s="13">
        <f>INDEX(SOFR!$C$2:$C$85,AY2)</f>
        <v/>
      </c>
      <c r="AZ4" s="13">
        <f>INDEX(SOFR!$C$2:$C$85,AZ2)</f>
        <v/>
      </c>
      <c r="BA4" s="13">
        <f>INDEX(SOFR!$C$2:$C$85,BA2)</f>
        <v/>
      </c>
      <c r="BB4" s="13">
        <f>INDEX(SOFR!$C$2:$C$85,BB2)</f>
        <v/>
      </c>
      <c r="BC4" s="13">
        <f>INDEX(SOFR!$C$2:$C$85,BC2)</f>
        <v/>
      </c>
      <c r="BD4" s="13">
        <f>INDEX(SOFR!$C$2:$C$85,BD2)</f>
        <v/>
      </c>
      <c r="BE4" s="13">
        <f>INDEX(SOFR!$C$2:$C$85,BE2)</f>
        <v/>
      </c>
      <c r="BF4" s="13">
        <f>INDEX(SOFR!$C$2:$C$85,BF2)</f>
        <v/>
      </c>
      <c r="BG4" s="13">
        <f>INDEX(SOFR!$C$2:$C$85,BG2)</f>
        <v/>
      </c>
      <c r="BH4" s="13">
        <f>INDEX(SOFR!$C$2:$C$85,BH2)</f>
        <v/>
      </c>
      <c r="BI4" s="13">
        <f>INDEX(SOFR!$C$2:$C$85,BI2)</f>
        <v/>
      </c>
      <c r="BJ4" s="13">
        <f>INDEX(SOFR!$C$2:$C$85,BJ2)</f>
        <v/>
      </c>
      <c r="BK4" s="13">
        <f>INDEX(SOFR!$C$2:$C$85,BK2)</f>
        <v/>
      </c>
      <c r="BL4" s="13">
        <f>INDEX(SOFR!$C$2:$C$85,BL2)</f>
        <v/>
      </c>
      <c r="BM4" s="13">
        <f>INDEX(SOFR!$C$2:$C$85,BM2)</f>
        <v/>
      </c>
      <c r="BN4" s="13">
        <f>INDEX(SOFR!$C$2:$C$85,BN2)</f>
        <v/>
      </c>
      <c r="BO4" s="13">
        <f>INDEX(SOFR!$C$2:$C$85,BO2)</f>
        <v/>
      </c>
      <c r="BP4" s="13">
        <f>INDEX(SOFR!$C$2:$C$85,BP2)</f>
        <v/>
      </c>
      <c r="BQ4" s="13">
        <f>INDEX(SOFR!$C$2:$C$85,BQ2)</f>
        <v/>
      </c>
      <c r="BR4" s="13">
        <f>INDEX(SOFR!$C$2:$C$85,BR2)</f>
        <v/>
      </c>
      <c r="BS4" s="13">
        <f>INDEX(SOFR!$C$2:$C$85,BS2)</f>
        <v/>
      </c>
      <c r="BT4" s="13">
        <f>INDEX(SOFR!$C$2:$C$85,BT2)</f>
        <v/>
      </c>
      <c r="BU4" s="13">
        <f>INDEX(SOFR!$C$2:$C$85,BU2)</f>
        <v/>
      </c>
      <c r="BV4" s="13">
        <f>INDEX(SOFR!$C$2:$C$85,BV2)</f>
        <v/>
      </c>
      <c r="BW4" s="13">
        <f>INDEX(SOFR!$C$2:$C$85,BW2)</f>
        <v/>
      </c>
      <c r="BX4" s="13">
        <f>INDEX(SOFR!$C$2:$C$85,BX2)</f>
        <v/>
      </c>
      <c r="BY4" s="13">
        <f>INDEX(SOFR!$C$2:$C$85,BY2)</f>
        <v/>
      </c>
      <c r="BZ4" s="13">
        <f>INDEX(SOFR!$C$2:$C$85,BZ2)</f>
        <v/>
      </c>
      <c r="CA4" s="13">
        <f>INDEX(SOFR!$C$2:$C$85,CA2)</f>
        <v/>
      </c>
      <c r="CB4" s="13">
        <f>INDEX(SOFR!$C$2:$C$85,CB2)</f>
        <v/>
      </c>
      <c r="CC4" s="13">
        <f>INDEX(SOFR!$C$2:$C$85,CC2)</f>
        <v/>
      </c>
      <c r="CD4" s="13">
        <f>INDEX(SOFR!$C$2:$C$85,CD2)</f>
        <v/>
      </c>
      <c r="CE4" s="13">
        <f>INDEX(SOFR!$C$2:$C$85,CE2)</f>
        <v/>
      </c>
      <c r="CF4" s="13">
        <f>INDEX(SOFR!$C$2:$C$85,CF2)</f>
        <v/>
      </c>
      <c r="CG4" s="13">
        <f>INDEX(SOFR!$C$2:$C$85,CG2)</f>
        <v/>
      </c>
      <c r="CH4" s="13">
        <f>INDEX(SOFR!$C$2:$C$85,CH2)</f>
        <v/>
      </c>
    </row>
    <row r="5">
      <c r="A5" s="3" t="inlineStr">
        <is>
          <t>All-in rate</t>
        </is>
      </c>
      <c r="B5" s="4" t="inlineStr">
        <is>
          <t>%</t>
        </is>
      </c>
      <c r="C5" s="13">
        <f>MAX(SOFR_FLOOR_PCT,C4)+CT_SPREAD_PCT</f>
        <v/>
      </c>
      <c r="D5" s="13">
        <f>MAX(SOFR_FLOOR_PCT,D4)+CT_SPREAD_PCT</f>
        <v/>
      </c>
      <c r="E5" s="13">
        <f>MAX(SOFR_FLOOR_PCT,E4)+CT_SPREAD_PCT</f>
        <v/>
      </c>
      <c r="F5" s="13">
        <f>MAX(SOFR_FLOOR_PCT,F4)+CT_SPREAD_PCT</f>
        <v/>
      </c>
      <c r="G5" s="13">
        <f>MAX(SOFR_FLOOR_PCT,G4)+CT_SPREAD_PCT</f>
        <v/>
      </c>
      <c r="H5" s="13">
        <f>MAX(SOFR_FLOOR_PCT,H4)+CT_SPREAD_PCT</f>
        <v/>
      </c>
      <c r="I5" s="13">
        <f>MAX(SOFR_FLOOR_PCT,I4)+CT_SPREAD_PCT</f>
        <v/>
      </c>
      <c r="J5" s="13">
        <f>MAX(SOFR_FLOOR_PCT,J4)+CT_SPREAD_PCT</f>
        <v/>
      </c>
      <c r="K5" s="13">
        <f>MAX(SOFR_FLOOR_PCT,K4)+CT_SPREAD_PCT</f>
        <v/>
      </c>
      <c r="L5" s="13">
        <f>MAX(SOFR_FLOOR_PCT,L4)+CT_SPREAD_PCT</f>
        <v/>
      </c>
      <c r="M5" s="13">
        <f>MAX(SOFR_FLOOR_PCT,M4)+CT_SPREAD_PCT</f>
        <v/>
      </c>
      <c r="N5" s="13">
        <f>MAX(SOFR_FLOOR_PCT,N4)+CT_SPREAD_PCT</f>
        <v/>
      </c>
      <c r="O5" s="13">
        <f>MAX(SOFR_FLOOR_PCT,O4)+CT_SPREAD_PCT</f>
        <v/>
      </c>
      <c r="P5" s="13">
        <f>MAX(SOFR_FLOOR_PCT,P4)+CT_SPREAD_PCT</f>
        <v/>
      </c>
      <c r="Q5" s="13">
        <f>MAX(SOFR_FLOOR_PCT,Q4)+CT_SPREAD_PCT</f>
        <v/>
      </c>
      <c r="R5" s="13">
        <f>MAX(SOFR_FLOOR_PCT,R4)+CT_SPREAD_PCT</f>
        <v/>
      </c>
      <c r="S5" s="13">
        <f>MAX(SOFR_FLOOR_PCT,S4)+CT_SPREAD_PCT</f>
        <v/>
      </c>
      <c r="T5" s="13">
        <f>MAX(SOFR_FLOOR_PCT,T4)+CT_SPREAD_PCT</f>
        <v/>
      </c>
      <c r="U5" s="13">
        <f>MAX(SOFR_FLOOR_PCT,U4)+CT_SPREAD_PCT</f>
        <v/>
      </c>
      <c r="V5" s="13">
        <f>MAX(SOFR_FLOOR_PCT,V4)+CT_SPREAD_PCT</f>
        <v/>
      </c>
      <c r="W5" s="13">
        <f>MAX(SOFR_FLOOR_PCT,W4)+CT_SPREAD_PCT</f>
        <v/>
      </c>
      <c r="X5" s="13">
        <f>MAX(SOFR_FLOOR_PCT,X4)+CT_SPREAD_PCT</f>
        <v/>
      </c>
      <c r="Y5" s="13">
        <f>MAX(SOFR_FLOOR_PCT,Y4)+CT_SPREAD_PCT</f>
        <v/>
      </c>
      <c r="Z5" s="13">
        <f>MAX(SOFR_FLOOR_PCT,Z4)+CT_SPREAD_PCT</f>
        <v/>
      </c>
      <c r="AA5" s="13">
        <f>MAX(SOFR_FLOOR_PCT,AA4)+CT_SPREAD_PCT</f>
        <v/>
      </c>
      <c r="AB5" s="13">
        <f>MAX(SOFR_FLOOR_PCT,AB4)+CT_SPREAD_PCT</f>
        <v/>
      </c>
      <c r="AC5" s="13">
        <f>MAX(SOFR_FLOOR_PCT,AC4)+CT_SPREAD_PCT</f>
        <v/>
      </c>
      <c r="AD5" s="13">
        <f>MAX(SOFR_FLOOR_PCT,AD4)+CT_SPREAD_PCT</f>
        <v/>
      </c>
      <c r="AE5" s="13">
        <f>MAX(SOFR_FLOOR_PCT,AE4)+CT_SPREAD_PCT</f>
        <v/>
      </c>
      <c r="AF5" s="13">
        <f>MAX(SOFR_FLOOR_PCT,AF4)+CT_SPREAD_PCT</f>
        <v/>
      </c>
      <c r="AG5" s="13">
        <f>MAX(SOFR_FLOOR_PCT,AG4)+CT_SPREAD_PCT</f>
        <v/>
      </c>
      <c r="AH5" s="13">
        <f>MAX(SOFR_FLOOR_PCT,AH4)+CT_SPREAD_PCT</f>
        <v/>
      </c>
      <c r="AI5" s="13">
        <f>MAX(SOFR_FLOOR_PCT,AI4)+CT_SPREAD_PCT</f>
        <v/>
      </c>
      <c r="AJ5" s="13">
        <f>MAX(SOFR_FLOOR_PCT,AJ4)+CT_SPREAD_PCT</f>
        <v/>
      </c>
      <c r="AK5" s="13">
        <f>MAX(SOFR_FLOOR_PCT,AK4)+CT_SPREAD_PCT</f>
        <v/>
      </c>
      <c r="AL5" s="13">
        <f>MAX(SOFR_FLOOR_PCT,AL4)+CT_SPREAD_PCT</f>
        <v/>
      </c>
      <c r="AM5" s="13">
        <f>MAX(SOFR_FLOOR_PCT,AM4)+CT_SPREAD_PCT</f>
        <v/>
      </c>
      <c r="AN5" s="13">
        <f>MAX(SOFR_FLOOR_PCT,AN4)+CT_SPREAD_PCT</f>
        <v/>
      </c>
      <c r="AO5" s="13">
        <f>MAX(SOFR_FLOOR_PCT,AO4)+CT_SPREAD_PCT</f>
        <v/>
      </c>
      <c r="AP5" s="13">
        <f>MAX(SOFR_FLOOR_PCT,AP4)+CT_SPREAD_PCT</f>
        <v/>
      </c>
      <c r="AQ5" s="13">
        <f>MAX(SOFR_FLOOR_PCT,AQ4)+CT_SPREAD_PCT</f>
        <v/>
      </c>
      <c r="AR5" s="13">
        <f>MAX(SOFR_FLOOR_PCT,AR4)+CT_SPREAD_PCT</f>
        <v/>
      </c>
      <c r="AS5" s="13">
        <f>MAX(SOFR_FLOOR_PCT,AS4)+CT_SPREAD_PCT</f>
        <v/>
      </c>
      <c r="AT5" s="13">
        <f>MAX(SOFR_FLOOR_PCT,AT4)+CT_SPREAD_PCT</f>
        <v/>
      </c>
      <c r="AU5" s="13">
        <f>MAX(SOFR_FLOOR_PCT,AU4)+CT_SPREAD_PCT</f>
        <v/>
      </c>
      <c r="AV5" s="13">
        <f>MAX(SOFR_FLOOR_PCT,AV4)+CT_SPREAD_PCT</f>
        <v/>
      </c>
      <c r="AW5" s="13">
        <f>MAX(SOFR_FLOOR_PCT,AW4)+CT_SPREAD_PCT</f>
        <v/>
      </c>
      <c r="AX5" s="13">
        <f>MAX(SOFR_FLOOR_PCT,AX4)+CT_SPREAD_PCT</f>
        <v/>
      </c>
      <c r="AY5" s="13">
        <f>MAX(SOFR_FLOOR_PCT,AY4)+CT_SPREAD_PCT</f>
        <v/>
      </c>
      <c r="AZ5" s="13">
        <f>MAX(SOFR_FLOOR_PCT,AZ4)+CT_SPREAD_PCT</f>
        <v/>
      </c>
      <c r="BA5" s="13">
        <f>MAX(SOFR_FLOOR_PCT,BA4)+CT_SPREAD_PCT</f>
        <v/>
      </c>
      <c r="BB5" s="13">
        <f>MAX(SOFR_FLOOR_PCT,BB4)+CT_SPREAD_PCT</f>
        <v/>
      </c>
      <c r="BC5" s="13">
        <f>MAX(SOFR_FLOOR_PCT,BC4)+CT_SPREAD_PCT</f>
        <v/>
      </c>
      <c r="BD5" s="13">
        <f>MAX(SOFR_FLOOR_PCT,BD4)+CT_SPREAD_PCT</f>
        <v/>
      </c>
      <c r="BE5" s="13">
        <f>MAX(SOFR_FLOOR_PCT,BE4)+CT_SPREAD_PCT</f>
        <v/>
      </c>
      <c r="BF5" s="13">
        <f>MAX(SOFR_FLOOR_PCT,BF4)+CT_SPREAD_PCT</f>
        <v/>
      </c>
      <c r="BG5" s="13">
        <f>MAX(SOFR_FLOOR_PCT,BG4)+CT_SPREAD_PCT</f>
        <v/>
      </c>
      <c r="BH5" s="13">
        <f>MAX(SOFR_FLOOR_PCT,BH4)+CT_SPREAD_PCT</f>
        <v/>
      </c>
      <c r="BI5" s="13">
        <f>MAX(SOFR_FLOOR_PCT,BI4)+CT_SPREAD_PCT</f>
        <v/>
      </c>
      <c r="BJ5" s="13">
        <f>MAX(SOFR_FLOOR_PCT,BJ4)+CT_SPREAD_PCT</f>
        <v/>
      </c>
      <c r="BK5" s="13">
        <f>MAX(SOFR_FLOOR_PCT,BK4)+CT_SPREAD_PCT</f>
        <v/>
      </c>
      <c r="BL5" s="13">
        <f>MAX(SOFR_FLOOR_PCT,BL4)+CT_SPREAD_PCT</f>
        <v/>
      </c>
      <c r="BM5" s="13">
        <f>MAX(SOFR_FLOOR_PCT,BM4)+CT_SPREAD_PCT</f>
        <v/>
      </c>
      <c r="BN5" s="13">
        <f>MAX(SOFR_FLOOR_PCT,BN4)+CT_SPREAD_PCT</f>
        <v/>
      </c>
      <c r="BO5" s="13">
        <f>MAX(SOFR_FLOOR_PCT,BO4)+CT_SPREAD_PCT</f>
        <v/>
      </c>
      <c r="BP5" s="13">
        <f>MAX(SOFR_FLOOR_PCT,BP4)+CT_SPREAD_PCT</f>
        <v/>
      </c>
      <c r="BQ5" s="13">
        <f>MAX(SOFR_FLOOR_PCT,BQ4)+CT_SPREAD_PCT</f>
        <v/>
      </c>
      <c r="BR5" s="13">
        <f>MAX(SOFR_FLOOR_PCT,BR4)+CT_SPREAD_PCT</f>
        <v/>
      </c>
      <c r="BS5" s="13">
        <f>MAX(SOFR_FLOOR_PCT,BS4)+CT_SPREAD_PCT</f>
        <v/>
      </c>
      <c r="BT5" s="13">
        <f>MAX(SOFR_FLOOR_PCT,BT4)+CT_SPREAD_PCT</f>
        <v/>
      </c>
      <c r="BU5" s="13">
        <f>MAX(SOFR_FLOOR_PCT,BU4)+CT_SPREAD_PCT</f>
        <v/>
      </c>
      <c r="BV5" s="13">
        <f>MAX(SOFR_FLOOR_PCT,BV4)+CT_SPREAD_PCT</f>
        <v/>
      </c>
      <c r="BW5" s="13">
        <f>MAX(SOFR_FLOOR_PCT,BW4)+CT_SPREAD_PCT</f>
        <v/>
      </c>
      <c r="BX5" s="13">
        <f>MAX(SOFR_FLOOR_PCT,BX4)+CT_SPREAD_PCT</f>
        <v/>
      </c>
      <c r="BY5" s="13">
        <f>MAX(SOFR_FLOOR_PCT,BY4)+CT_SPREAD_PCT</f>
        <v/>
      </c>
      <c r="BZ5" s="13">
        <f>MAX(SOFR_FLOOR_PCT,BZ4)+CT_SPREAD_PCT</f>
        <v/>
      </c>
      <c r="CA5" s="13">
        <f>MAX(SOFR_FLOOR_PCT,CA4)+CT_SPREAD_PCT</f>
        <v/>
      </c>
      <c r="CB5" s="13">
        <f>MAX(SOFR_FLOOR_PCT,CB4)+CT_SPREAD_PCT</f>
        <v/>
      </c>
      <c r="CC5" s="13">
        <f>MAX(SOFR_FLOOR_PCT,CC4)+CT_SPREAD_PCT</f>
        <v/>
      </c>
      <c r="CD5" s="13">
        <f>MAX(SOFR_FLOOR_PCT,CD4)+CT_SPREAD_PCT</f>
        <v/>
      </c>
      <c r="CE5" s="13">
        <f>MAX(SOFR_FLOOR_PCT,CE4)+CT_SPREAD_PCT</f>
        <v/>
      </c>
      <c r="CF5" s="13">
        <f>MAX(SOFR_FLOOR_PCT,CF4)+CT_SPREAD_PCT</f>
        <v/>
      </c>
      <c r="CG5" s="13">
        <f>MAX(SOFR_FLOOR_PCT,CG4)+CT_SPREAD_PCT</f>
        <v/>
      </c>
      <c r="CH5" s="13">
        <f>MAX(SOFR_FLOOR_PCT,CH4)+CT_SPREAD_PCT</f>
        <v/>
      </c>
    </row>
    <row r="6">
      <c r="A6" s="3" t="inlineStr">
        <is>
          <t>Budget spend</t>
        </is>
      </c>
      <c r="B6" s="4" t="inlineStr">
        <is>
          <t>$</t>
        </is>
      </c>
      <c r="C6" s="12">
        <f>SpendCurve!C10</f>
        <v/>
      </c>
      <c r="D6" s="12">
        <f>SpendCurve!D10</f>
        <v/>
      </c>
      <c r="E6" s="12">
        <f>SpendCurve!E10</f>
        <v/>
      </c>
      <c r="F6" s="12">
        <f>SpendCurve!F10</f>
        <v/>
      </c>
      <c r="G6" s="12">
        <f>SpendCurve!G10</f>
        <v/>
      </c>
      <c r="H6" s="12">
        <f>SpendCurve!H10</f>
        <v/>
      </c>
      <c r="I6" s="12">
        <f>SpendCurve!I10</f>
        <v/>
      </c>
      <c r="J6" s="12">
        <f>SpendCurve!J10</f>
        <v/>
      </c>
      <c r="K6" s="12">
        <f>SpendCurve!K10</f>
        <v/>
      </c>
      <c r="L6" s="12">
        <f>SpendCurve!L10</f>
        <v/>
      </c>
      <c r="M6" s="12">
        <f>SpendCurve!M10</f>
        <v/>
      </c>
      <c r="N6" s="12">
        <f>SpendCurve!N10</f>
        <v/>
      </c>
      <c r="O6" s="12">
        <f>SpendCurve!O10</f>
        <v/>
      </c>
      <c r="P6" s="12">
        <f>SpendCurve!P10</f>
        <v/>
      </c>
      <c r="Q6" s="12">
        <f>SpendCurve!Q10</f>
        <v/>
      </c>
      <c r="R6" s="12">
        <f>SpendCurve!R10</f>
        <v/>
      </c>
      <c r="S6" s="12">
        <f>SpendCurve!S10</f>
        <v/>
      </c>
      <c r="T6" s="12">
        <f>SpendCurve!T10</f>
        <v/>
      </c>
      <c r="U6" s="12">
        <f>SpendCurve!U10</f>
        <v/>
      </c>
      <c r="V6" s="12">
        <f>SpendCurve!V10</f>
        <v/>
      </c>
      <c r="W6" s="12">
        <f>SpendCurve!W10</f>
        <v/>
      </c>
      <c r="X6" s="12">
        <f>SpendCurve!X10</f>
        <v/>
      </c>
      <c r="Y6" s="12">
        <f>SpendCurve!Y10</f>
        <v/>
      </c>
      <c r="Z6" s="12">
        <f>SpendCurve!Z10</f>
        <v/>
      </c>
      <c r="AA6" s="12">
        <f>SpendCurve!AA10</f>
        <v/>
      </c>
      <c r="AB6" s="12">
        <f>SpendCurve!AB10</f>
        <v/>
      </c>
      <c r="AC6" s="12">
        <f>SpendCurve!AC10</f>
        <v/>
      </c>
      <c r="AD6" s="12">
        <f>SpendCurve!AD10</f>
        <v/>
      </c>
      <c r="AE6" s="12">
        <f>SpendCurve!AE10</f>
        <v/>
      </c>
      <c r="AF6" s="12">
        <f>SpendCurve!AF10</f>
        <v/>
      </c>
      <c r="AG6" s="12">
        <f>SpendCurve!AG10</f>
        <v/>
      </c>
      <c r="AH6" s="12">
        <f>SpendCurve!AH10</f>
        <v/>
      </c>
      <c r="AI6" s="12">
        <f>SpendCurve!AI10</f>
        <v/>
      </c>
      <c r="AJ6" s="12">
        <f>SpendCurve!AJ10</f>
        <v/>
      </c>
      <c r="AK6" s="12">
        <f>SpendCurve!AK10</f>
        <v/>
      </c>
      <c r="AL6" s="12">
        <f>SpendCurve!AL10</f>
        <v/>
      </c>
      <c r="AM6" s="12">
        <f>SpendCurve!AM10</f>
        <v/>
      </c>
      <c r="AN6" s="12">
        <f>SpendCurve!AN10</f>
        <v/>
      </c>
      <c r="AO6" s="12">
        <f>SpendCurve!AO10</f>
        <v/>
      </c>
      <c r="AP6" s="12">
        <f>SpendCurve!AP10</f>
        <v/>
      </c>
      <c r="AQ6" s="12">
        <f>SpendCurve!AQ10</f>
        <v/>
      </c>
      <c r="AR6" s="12">
        <f>SpendCurve!AR10</f>
        <v/>
      </c>
      <c r="AS6" s="12">
        <f>SpendCurve!AS10</f>
        <v/>
      </c>
      <c r="AT6" s="12">
        <f>SpendCurve!AT10</f>
        <v/>
      </c>
      <c r="AU6" s="12">
        <f>SpendCurve!AU10</f>
        <v/>
      </c>
      <c r="AV6" s="12">
        <f>SpendCurve!AV10</f>
        <v/>
      </c>
      <c r="AW6" s="12">
        <f>SpendCurve!AW10</f>
        <v/>
      </c>
      <c r="AX6" s="12">
        <f>SpendCurve!AX10</f>
        <v/>
      </c>
      <c r="AY6" s="12">
        <f>SpendCurve!AY10</f>
        <v/>
      </c>
      <c r="AZ6" s="12">
        <f>SpendCurve!AZ10</f>
        <v/>
      </c>
      <c r="BA6" s="12">
        <f>SpendCurve!BA10</f>
        <v/>
      </c>
      <c r="BB6" s="12">
        <f>SpendCurve!BB10</f>
        <v/>
      </c>
      <c r="BC6" s="12">
        <f>SpendCurve!BC10</f>
        <v/>
      </c>
      <c r="BD6" s="12">
        <f>SpendCurve!BD10</f>
        <v/>
      </c>
      <c r="BE6" s="12">
        <f>SpendCurve!BE10</f>
        <v/>
      </c>
      <c r="BF6" s="12">
        <f>SpendCurve!BF10</f>
        <v/>
      </c>
      <c r="BG6" s="12">
        <f>SpendCurve!BG10</f>
        <v/>
      </c>
      <c r="BH6" s="12">
        <f>SpendCurve!BH10</f>
        <v/>
      </c>
      <c r="BI6" s="12">
        <f>SpendCurve!BI10</f>
        <v/>
      </c>
      <c r="BJ6" s="12">
        <f>SpendCurve!BJ10</f>
        <v/>
      </c>
      <c r="BK6" s="12">
        <f>SpendCurve!BK10</f>
        <v/>
      </c>
      <c r="BL6" s="12">
        <f>SpendCurve!BL10</f>
        <v/>
      </c>
      <c r="BM6" s="12">
        <f>SpendCurve!BM10</f>
        <v/>
      </c>
      <c r="BN6" s="12">
        <f>SpendCurve!BN10</f>
        <v/>
      </c>
      <c r="BO6" s="12">
        <f>SpendCurve!BO10</f>
        <v/>
      </c>
      <c r="BP6" s="12">
        <f>SpendCurve!BP10</f>
        <v/>
      </c>
      <c r="BQ6" s="12">
        <f>SpendCurve!BQ10</f>
        <v/>
      </c>
      <c r="BR6" s="12">
        <f>SpendCurve!BR10</f>
        <v/>
      </c>
      <c r="BS6" s="12">
        <f>SpendCurve!BS10</f>
        <v/>
      </c>
      <c r="BT6" s="12">
        <f>SpendCurve!BT10</f>
        <v/>
      </c>
      <c r="BU6" s="12">
        <f>SpendCurve!BU10</f>
        <v/>
      </c>
      <c r="BV6" s="12">
        <f>SpendCurve!BV10</f>
        <v/>
      </c>
      <c r="BW6" s="12">
        <f>SpendCurve!BW10</f>
        <v/>
      </c>
      <c r="BX6" s="12">
        <f>SpendCurve!BX10</f>
        <v/>
      </c>
      <c r="BY6" s="12">
        <f>SpendCurve!BY10</f>
        <v/>
      </c>
      <c r="BZ6" s="12">
        <f>SpendCurve!BZ10</f>
        <v/>
      </c>
      <c r="CA6" s="12">
        <f>SpendCurve!CA10</f>
        <v/>
      </c>
      <c r="CB6" s="12">
        <f>SpendCurve!CB10</f>
        <v/>
      </c>
      <c r="CC6" s="12">
        <f>SpendCurve!CC10</f>
        <v/>
      </c>
      <c r="CD6" s="12">
        <f>SpendCurve!CD10</f>
        <v/>
      </c>
      <c r="CE6" s="12">
        <f>SpendCurve!CE10</f>
        <v/>
      </c>
      <c r="CF6" s="12">
        <f>SpendCurve!CF10</f>
        <v/>
      </c>
      <c r="CG6" s="12">
        <f>SpendCurve!CG10</f>
        <v/>
      </c>
      <c r="CH6" s="12">
        <f>SpendCurve!CH10</f>
        <v/>
      </c>
    </row>
    <row r="7">
      <c r="A7" s="3" t="inlineStr">
        <is>
          <t>Equity cash opening</t>
        </is>
      </c>
      <c r="B7" s="4" t="inlineStr">
        <is>
          <t>$</t>
        </is>
      </c>
      <c r="C7" s="12">
        <f>0</f>
        <v/>
      </c>
      <c r="D7" s="12">
        <f>C10</f>
        <v/>
      </c>
      <c r="E7" s="12">
        <f>D10</f>
        <v/>
      </c>
      <c r="F7" s="12">
        <f>E10</f>
        <v/>
      </c>
      <c r="G7" s="12">
        <f>F10</f>
        <v/>
      </c>
      <c r="H7" s="12">
        <f>G10</f>
        <v/>
      </c>
      <c r="I7" s="12">
        <f>H10</f>
        <v/>
      </c>
      <c r="J7" s="12">
        <f>I10</f>
        <v/>
      </c>
      <c r="K7" s="12">
        <f>J10</f>
        <v/>
      </c>
      <c r="L7" s="12">
        <f>K10</f>
        <v/>
      </c>
      <c r="M7" s="12">
        <f>L10</f>
        <v/>
      </c>
      <c r="N7" s="12">
        <f>M10</f>
        <v/>
      </c>
      <c r="O7" s="12">
        <f>N10</f>
        <v/>
      </c>
      <c r="P7" s="12">
        <f>O10</f>
        <v/>
      </c>
      <c r="Q7" s="12">
        <f>P10</f>
        <v/>
      </c>
      <c r="R7" s="12">
        <f>Q10</f>
        <v/>
      </c>
      <c r="S7" s="12">
        <f>R10</f>
        <v/>
      </c>
      <c r="T7" s="12">
        <f>S10</f>
        <v/>
      </c>
      <c r="U7" s="12">
        <f>T10</f>
        <v/>
      </c>
      <c r="V7" s="12">
        <f>U10</f>
        <v/>
      </c>
      <c r="W7" s="12">
        <f>V10</f>
        <v/>
      </c>
      <c r="X7" s="12">
        <f>W10</f>
        <v/>
      </c>
      <c r="Y7" s="12">
        <f>X10</f>
        <v/>
      </c>
      <c r="Z7" s="12">
        <f>Y10</f>
        <v/>
      </c>
      <c r="AA7" s="12">
        <f>Z10</f>
        <v/>
      </c>
      <c r="AB7" s="12">
        <f>AA10</f>
        <v/>
      </c>
      <c r="AC7" s="12">
        <f>AB10</f>
        <v/>
      </c>
      <c r="AD7" s="12">
        <f>AC10</f>
        <v/>
      </c>
      <c r="AE7" s="12">
        <f>AD10</f>
        <v/>
      </c>
      <c r="AF7" s="12">
        <f>AE10</f>
        <v/>
      </c>
      <c r="AG7" s="12">
        <f>AF10</f>
        <v/>
      </c>
      <c r="AH7" s="12">
        <f>AG10</f>
        <v/>
      </c>
      <c r="AI7" s="12">
        <f>AH10</f>
        <v/>
      </c>
      <c r="AJ7" s="12">
        <f>AI10</f>
        <v/>
      </c>
      <c r="AK7" s="12">
        <f>AJ10</f>
        <v/>
      </c>
      <c r="AL7" s="12">
        <f>AK10</f>
        <v/>
      </c>
      <c r="AM7" s="12">
        <f>AL10</f>
        <v/>
      </c>
      <c r="AN7" s="12">
        <f>AM10</f>
        <v/>
      </c>
      <c r="AO7" s="12">
        <f>AN10</f>
        <v/>
      </c>
      <c r="AP7" s="12">
        <f>AO10</f>
        <v/>
      </c>
      <c r="AQ7" s="12">
        <f>AP10</f>
        <v/>
      </c>
      <c r="AR7" s="12">
        <f>AQ10</f>
        <v/>
      </c>
      <c r="AS7" s="12">
        <f>AR10</f>
        <v/>
      </c>
      <c r="AT7" s="12">
        <f>AS10</f>
        <v/>
      </c>
      <c r="AU7" s="12">
        <f>AT10</f>
        <v/>
      </c>
      <c r="AV7" s="12">
        <f>AU10</f>
        <v/>
      </c>
      <c r="AW7" s="12">
        <f>AV10</f>
        <v/>
      </c>
      <c r="AX7" s="12">
        <f>AW10</f>
        <v/>
      </c>
      <c r="AY7" s="12">
        <f>AX10</f>
        <v/>
      </c>
      <c r="AZ7" s="12">
        <f>AY10</f>
        <v/>
      </c>
      <c r="BA7" s="12">
        <f>AZ10</f>
        <v/>
      </c>
      <c r="BB7" s="12">
        <f>BA10</f>
        <v/>
      </c>
      <c r="BC7" s="12">
        <f>BB10</f>
        <v/>
      </c>
      <c r="BD7" s="12">
        <f>BC10</f>
        <v/>
      </c>
      <c r="BE7" s="12">
        <f>BD10</f>
        <v/>
      </c>
      <c r="BF7" s="12">
        <f>BE10</f>
        <v/>
      </c>
      <c r="BG7" s="12">
        <f>BF10</f>
        <v/>
      </c>
      <c r="BH7" s="12">
        <f>BG10</f>
        <v/>
      </c>
      <c r="BI7" s="12">
        <f>BH10</f>
        <v/>
      </c>
      <c r="BJ7" s="12">
        <f>BI10</f>
        <v/>
      </c>
      <c r="BK7" s="12">
        <f>BJ10</f>
        <v/>
      </c>
      <c r="BL7" s="12">
        <f>BK10</f>
        <v/>
      </c>
      <c r="BM7" s="12">
        <f>BL10</f>
        <v/>
      </c>
      <c r="BN7" s="12">
        <f>BM10</f>
        <v/>
      </c>
      <c r="BO7" s="12">
        <f>BN10</f>
        <v/>
      </c>
      <c r="BP7" s="12">
        <f>BO10</f>
        <v/>
      </c>
      <c r="BQ7" s="12">
        <f>BP10</f>
        <v/>
      </c>
      <c r="BR7" s="12">
        <f>BQ10</f>
        <v/>
      </c>
      <c r="BS7" s="12">
        <f>BR10</f>
        <v/>
      </c>
      <c r="BT7" s="12">
        <f>BS10</f>
        <v/>
      </c>
      <c r="BU7" s="12">
        <f>BT10</f>
        <v/>
      </c>
      <c r="BV7" s="12">
        <f>BU10</f>
        <v/>
      </c>
      <c r="BW7" s="12">
        <f>BV10</f>
        <v/>
      </c>
      <c r="BX7" s="12">
        <f>BW10</f>
        <v/>
      </c>
      <c r="BY7" s="12">
        <f>BX10</f>
        <v/>
      </c>
      <c r="BZ7" s="12">
        <f>BY10</f>
        <v/>
      </c>
      <c r="CA7" s="12">
        <f>BZ10</f>
        <v/>
      </c>
      <c r="CB7" s="12">
        <f>CA10</f>
        <v/>
      </c>
      <c r="CC7" s="12">
        <f>CB10</f>
        <v/>
      </c>
      <c r="CD7" s="12">
        <f>CC10</f>
        <v/>
      </c>
      <c r="CE7" s="12">
        <f>CD10</f>
        <v/>
      </c>
      <c r="CF7" s="12">
        <f>CE10</f>
        <v/>
      </c>
      <c r="CG7" s="12">
        <f>CF10</f>
        <v/>
      </c>
      <c r="CH7" s="12">
        <f>CG10</f>
        <v/>
      </c>
    </row>
    <row r="8">
      <c r="A8" s="3" t="inlineStr">
        <is>
          <t>Equity contribution</t>
        </is>
      </c>
      <c r="B8" s="4" t="inlineStr">
        <is>
          <t>$</t>
        </is>
      </c>
      <c r="C8" s="12">
        <f>IF(C2=1,SourcesUses!$C$28,0)</f>
        <v/>
      </c>
      <c r="D8" s="12">
        <f>IF(D2=1,SourcesUses!$C$28,0)</f>
        <v/>
      </c>
      <c r="E8" s="12">
        <f>IF(E2=1,SourcesUses!$C$28,0)</f>
        <v/>
      </c>
      <c r="F8" s="12">
        <f>IF(F2=1,SourcesUses!$C$28,0)</f>
        <v/>
      </c>
      <c r="G8" s="12">
        <f>IF(G2=1,SourcesUses!$C$28,0)</f>
        <v/>
      </c>
      <c r="H8" s="12">
        <f>IF(H2=1,SourcesUses!$C$28,0)</f>
        <v/>
      </c>
      <c r="I8" s="12">
        <f>IF(I2=1,SourcesUses!$C$28,0)</f>
        <v/>
      </c>
      <c r="J8" s="12">
        <f>IF(J2=1,SourcesUses!$C$28,0)</f>
        <v/>
      </c>
      <c r="K8" s="12">
        <f>IF(K2=1,SourcesUses!$C$28,0)</f>
        <v/>
      </c>
      <c r="L8" s="12">
        <f>IF(L2=1,SourcesUses!$C$28,0)</f>
        <v/>
      </c>
      <c r="M8" s="12">
        <f>IF(M2=1,SourcesUses!$C$28,0)</f>
        <v/>
      </c>
      <c r="N8" s="12">
        <f>IF(N2=1,SourcesUses!$C$28,0)</f>
        <v/>
      </c>
      <c r="O8" s="12">
        <f>IF(O2=1,SourcesUses!$C$28,0)</f>
        <v/>
      </c>
      <c r="P8" s="12">
        <f>IF(P2=1,SourcesUses!$C$28,0)</f>
        <v/>
      </c>
      <c r="Q8" s="12">
        <f>IF(Q2=1,SourcesUses!$C$28,0)</f>
        <v/>
      </c>
      <c r="R8" s="12">
        <f>IF(R2=1,SourcesUses!$C$28,0)</f>
        <v/>
      </c>
      <c r="S8" s="12">
        <f>IF(S2=1,SourcesUses!$C$28,0)</f>
        <v/>
      </c>
      <c r="T8" s="12">
        <f>IF(T2=1,SourcesUses!$C$28,0)</f>
        <v/>
      </c>
      <c r="U8" s="12">
        <f>IF(U2=1,SourcesUses!$C$28,0)</f>
        <v/>
      </c>
      <c r="V8" s="12">
        <f>IF(V2=1,SourcesUses!$C$28,0)</f>
        <v/>
      </c>
      <c r="W8" s="12">
        <f>IF(W2=1,SourcesUses!$C$28,0)</f>
        <v/>
      </c>
      <c r="X8" s="12">
        <f>IF(X2=1,SourcesUses!$C$28,0)</f>
        <v/>
      </c>
      <c r="Y8" s="12">
        <f>IF(Y2=1,SourcesUses!$C$28,0)</f>
        <v/>
      </c>
      <c r="Z8" s="12">
        <f>IF(Z2=1,SourcesUses!$C$28,0)</f>
        <v/>
      </c>
      <c r="AA8" s="12">
        <f>IF(AA2=1,SourcesUses!$C$28,0)</f>
        <v/>
      </c>
      <c r="AB8" s="12">
        <f>IF(AB2=1,SourcesUses!$C$28,0)</f>
        <v/>
      </c>
      <c r="AC8" s="12">
        <f>IF(AC2=1,SourcesUses!$C$28,0)</f>
        <v/>
      </c>
      <c r="AD8" s="12">
        <f>IF(AD2=1,SourcesUses!$C$28,0)</f>
        <v/>
      </c>
      <c r="AE8" s="12">
        <f>IF(AE2=1,SourcesUses!$C$28,0)</f>
        <v/>
      </c>
      <c r="AF8" s="12">
        <f>IF(AF2=1,SourcesUses!$C$28,0)</f>
        <v/>
      </c>
      <c r="AG8" s="12">
        <f>IF(AG2=1,SourcesUses!$C$28,0)</f>
        <v/>
      </c>
      <c r="AH8" s="12">
        <f>IF(AH2=1,SourcesUses!$C$28,0)</f>
        <v/>
      </c>
      <c r="AI8" s="12">
        <f>IF(AI2=1,SourcesUses!$C$28,0)</f>
        <v/>
      </c>
      <c r="AJ8" s="12">
        <f>IF(AJ2=1,SourcesUses!$C$28,0)</f>
        <v/>
      </c>
      <c r="AK8" s="12">
        <f>IF(AK2=1,SourcesUses!$C$28,0)</f>
        <v/>
      </c>
      <c r="AL8" s="12">
        <f>IF(AL2=1,SourcesUses!$C$28,0)</f>
        <v/>
      </c>
      <c r="AM8" s="12">
        <f>IF(AM2=1,SourcesUses!$C$28,0)</f>
        <v/>
      </c>
      <c r="AN8" s="12">
        <f>IF(AN2=1,SourcesUses!$C$28,0)</f>
        <v/>
      </c>
      <c r="AO8" s="12">
        <f>IF(AO2=1,SourcesUses!$C$28,0)</f>
        <v/>
      </c>
      <c r="AP8" s="12">
        <f>IF(AP2=1,SourcesUses!$C$28,0)</f>
        <v/>
      </c>
      <c r="AQ8" s="12">
        <f>IF(AQ2=1,SourcesUses!$C$28,0)</f>
        <v/>
      </c>
      <c r="AR8" s="12">
        <f>IF(AR2=1,SourcesUses!$C$28,0)</f>
        <v/>
      </c>
      <c r="AS8" s="12">
        <f>IF(AS2=1,SourcesUses!$C$28,0)</f>
        <v/>
      </c>
      <c r="AT8" s="12">
        <f>IF(AT2=1,SourcesUses!$C$28,0)</f>
        <v/>
      </c>
      <c r="AU8" s="12">
        <f>IF(AU2=1,SourcesUses!$C$28,0)</f>
        <v/>
      </c>
      <c r="AV8" s="12">
        <f>IF(AV2=1,SourcesUses!$C$28,0)</f>
        <v/>
      </c>
      <c r="AW8" s="12">
        <f>IF(AW2=1,SourcesUses!$C$28,0)</f>
        <v/>
      </c>
      <c r="AX8" s="12">
        <f>IF(AX2=1,SourcesUses!$C$28,0)</f>
        <v/>
      </c>
      <c r="AY8" s="12">
        <f>IF(AY2=1,SourcesUses!$C$28,0)</f>
        <v/>
      </c>
      <c r="AZ8" s="12">
        <f>IF(AZ2=1,SourcesUses!$C$28,0)</f>
        <v/>
      </c>
      <c r="BA8" s="12">
        <f>IF(BA2=1,SourcesUses!$C$28,0)</f>
        <v/>
      </c>
      <c r="BB8" s="12">
        <f>IF(BB2=1,SourcesUses!$C$28,0)</f>
        <v/>
      </c>
      <c r="BC8" s="12">
        <f>IF(BC2=1,SourcesUses!$C$28,0)</f>
        <v/>
      </c>
      <c r="BD8" s="12">
        <f>IF(BD2=1,SourcesUses!$C$28,0)</f>
        <v/>
      </c>
      <c r="BE8" s="12">
        <f>IF(BE2=1,SourcesUses!$C$28,0)</f>
        <v/>
      </c>
      <c r="BF8" s="12">
        <f>IF(BF2=1,SourcesUses!$C$28,0)</f>
        <v/>
      </c>
      <c r="BG8" s="12">
        <f>IF(BG2=1,SourcesUses!$C$28,0)</f>
        <v/>
      </c>
      <c r="BH8" s="12">
        <f>IF(BH2=1,SourcesUses!$C$28,0)</f>
        <v/>
      </c>
      <c r="BI8" s="12">
        <f>IF(BI2=1,SourcesUses!$C$28,0)</f>
        <v/>
      </c>
      <c r="BJ8" s="12">
        <f>IF(BJ2=1,SourcesUses!$C$28,0)</f>
        <v/>
      </c>
      <c r="BK8" s="12">
        <f>IF(BK2=1,SourcesUses!$C$28,0)</f>
        <v/>
      </c>
      <c r="BL8" s="12">
        <f>IF(BL2=1,SourcesUses!$C$28,0)</f>
        <v/>
      </c>
      <c r="BM8" s="12">
        <f>IF(BM2=1,SourcesUses!$C$28,0)</f>
        <v/>
      </c>
      <c r="BN8" s="12">
        <f>IF(BN2=1,SourcesUses!$C$28,0)</f>
        <v/>
      </c>
      <c r="BO8" s="12">
        <f>IF(BO2=1,SourcesUses!$C$28,0)</f>
        <v/>
      </c>
      <c r="BP8" s="12">
        <f>IF(BP2=1,SourcesUses!$C$28,0)</f>
        <v/>
      </c>
      <c r="BQ8" s="12">
        <f>IF(BQ2=1,SourcesUses!$C$28,0)</f>
        <v/>
      </c>
      <c r="BR8" s="12">
        <f>IF(BR2=1,SourcesUses!$C$28,0)</f>
        <v/>
      </c>
      <c r="BS8" s="12">
        <f>IF(BS2=1,SourcesUses!$C$28,0)</f>
        <v/>
      </c>
      <c r="BT8" s="12">
        <f>IF(BT2=1,SourcesUses!$C$28,0)</f>
        <v/>
      </c>
      <c r="BU8" s="12">
        <f>IF(BU2=1,SourcesUses!$C$28,0)</f>
        <v/>
      </c>
      <c r="BV8" s="12">
        <f>IF(BV2=1,SourcesUses!$C$28,0)</f>
        <v/>
      </c>
      <c r="BW8" s="12">
        <f>IF(BW2=1,SourcesUses!$C$28,0)</f>
        <v/>
      </c>
      <c r="BX8" s="12">
        <f>IF(BX2=1,SourcesUses!$C$28,0)</f>
        <v/>
      </c>
      <c r="BY8" s="12">
        <f>IF(BY2=1,SourcesUses!$C$28,0)</f>
        <v/>
      </c>
      <c r="BZ8" s="12">
        <f>IF(BZ2=1,SourcesUses!$C$28,0)</f>
        <v/>
      </c>
      <c r="CA8" s="12">
        <f>IF(CA2=1,SourcesUses!$C$28,0)</f>
        <v/>
      </c>
      <c r="CB8" s="12">
        <f>IF(CB2=1,SourcesUses!$C$28,0)</f>
        <v/>
      </c>
      <c r="CC8" s="12">
        <f>IF(CC2=1,SourcesUses!$C$28,0)</f>
        <v/>
      </c>
      <c r="CD8" s="12">
        <f>IF(CD2=1,SourcesUses!$C$28,0)</f>
        <v/>
      </c>
      <c r="CE8" s="12">
        <f>IF(CE2=1,SourcesUses!$C$28,0)</f>
        <v/>
      </c>
      <c r="CF8" s="12">
        <f>IF(CF2=1,SourcesUses!$C$28,0)</f>
        <v/>
      </c>
      <c r="CG8" s="12">
        <f>IF(CG2=1,SourcesUses!$C$28,0)</f>
        <v/>
      </c>
      <c r="CH8" s="12">
        <f>IF(CH2=1,SourcesUses!$C$28,0)</f>
        <v/>
      </c>
    </row>
    <row r="9">
      <c r="A9" s="3" t="inlineStr">
        <is>
          <t>Equity used</t>
        </is>
      </c>
      <c r="B9" s="4" t="inlineStr">
        <is>
          <t>$</t>
        </is>
      </c>
      <c r="C9" s="12">
        <f>MIN(C7+C8,C6)</f>
        <v/>
      </c>
      <c r="D9" s="12">
        <f>MIN(D7+D8,D6)</f>
        <v/>
      </c>
      <c r="E9" s="12">
        <f>MIN(E7+E8,E6)</f>
        <v/>
      </c>
      <c r="F9" s="12">
        <f>MIN(F7+F8,F6)</f>
        <v/>
      </c>
      <c r="G9" s="12">
        <f>MIN(G7+G8,G6)</f>
        <v/>
      </c>
      <c r="H9" s="12">
        <f>MIN(H7+H8,H6)</f>
        <v/>
      </c>
      <c r="I9" s="12">
        <f>MIN(I7+I8,I6)</f>
        <v/>
      </c>
      <c r="J9" s="12">
        <f>MIN(J7+J8,J6)</f>
        <v/>
      </c>
      <c r="K9" s="12">
        <f>MIN(K7+K8,K6)</f>
        <v/>
      </c>
      <c r="L9" s="12">
        <f>MIN(L7+L8,L6)</f>
        <v/>
      </c>
      <c r="M9" s="12">
        <f>MIN(M7+M8,M6)</f>
        <v/>
      </c>
      <c r="N9" s="12">
        <f>MIN(N7+N8,N6)</f>
        <v/>
      </c>
      <c r="O9" s="12">
        <f>MIN(O7+O8,O6)</f>
        <v/>
      </c>
      <c r="P9" s="12">
        <f>MIN(P7+P8,P6)</f>
        <v/>
      </c>
      <c r="Q9" s="12">
        <f>MIN(Q7+Q8,Q6)</f>
        <v/>
      </c>
      <c r="R9" s="12">
        <f>MIN(R7+R8,R6)</f>
        <v/>
      </c>
      <c r="S9" s="12">
        <f>MIN(S7+S8,S6)</f>
        <v/>
      </c>
      <c r="T9" s="12">
        <f>MIN(T7+T8,T6)</f>
        <v/>
      </c>
      <c r="U9" s="12">
        <f>MIN(U7+U8,U6)</f>
        <v/>
      </c>
      <c r="V9" s="12">
        <f>MIN(V7+V8,V6)</f>
        <v/>
      </c>
      <c r="W9" s="12">
        <f>MIN(W7+W8,W6)</f>
        <v/>
      </c>
      <c r="X9" s="12">
        <f>MIN(X7+X8,X6)</f>
        <v/>
      </c>
      <c r="Y9" s="12">
        <f>MIN(Y7+Y8,Y6)</f>
        <v/>
      </c>
      <c r="Z9" s="12">
        <f>MIN(Z7+Z8,Z6)</f>
        <v/>
      </c>
      <c r="AA9" s="12">
        <f>MIN(AA7+AA8,AA6)</f>
        <v/>
      </c>
      <c r="AB9" s="12">
        <f>MIN(AB7+AB8,AB6)</f>
        <v/>
      </c>
      <c r="AC9" s="12">
        <f>MIN(AC7+AC8,AC6)</f>
        <v/>
      </c>
      <c r="AD9" s="12">
        <f>MIN(AD7+AD8,AD6)</f>
        <v/>
      </c>
      <c r="AE9" s="12">
        <f>MIN(AE7+AE8,AE6)</f>
        <v/>
      </c>
      <c r="AF9" s="12">
        <f>MIN(AF7+AF8,AF6)</f>
        <v/>
      </c>
      <c r="AG9" s="12">
        <f>MIN(AG7+AG8,AG6)</f>
        <v/>
      </c>
      <c r="AH9" s="12">
        <f>MIN(AH7+AH8,AH6)</f>
        <v/>
      </c>
      <c r="AI9" s="12">
        <f>MIN(AI7+AI8,AI6)</f>
        <v/>
      </c>
      <c r="AJ9" s="12">
        <f>MIN(AJ7+AJ8,AJ6)</f>
        <v/>
      </c>
      <c r="AK9" s="12">
        <f>MIN(AK7+AK8,AK6)</f>
        <v/>
      </c>
      <c r="AL9" s="12">
        <f>MIN(AL7+AL8,AL6)</f>
        <v/>
      </c>
      <c r="AM9" s="12">
        <f>MIN(AM7+AM8,AM6)</f>
        <v/>
      </c>
      <c r="AN9" s="12">
        <f>MIN(AN7+AN8,AN6)</f>
        <v/>
      </c>
      <c r="AO9" s="12">
        <f>MIN(AO7+AO8,AO6)</f>
        <v/>
      </c>
      <c r="AP9" s="12">
        <f>MIN(AP7+AP8,AP6)</f>
        <v/>
      </c>
      <c r="AQ9" s="12">
        <f>MIN(AQ7+AQ8,AQ6)</f>
        <v/>
      </c>
      <c r="AR9" s="12">
        <f>MIN(AR7+AR8,AR6)</f>
        <v/>
      </c>
      <c r="AS9" s="12">
        <f>MIN(AS7+AS8,AS6)</f>
        <v/>
      </c>
      <c r="AT9" s="12">
        <f>MIN(AT7+AT8,AT6)</f>
        <v/>
      </c>
      <c r="AU9" s="12">
        <f>MIN(AU7+AU8,AU6)</f>
        <v/>
      </c>
      <c r="AV9" s="12">
        <f>MIN(AV7+AV8,AV6)</f>
        <v/>
      </c>
      <c r="AW9" s="12">
        <f>MIN(AW7+AW8,AW6)</f>
        <v/>
      </c>
      <c r="AX9" s="12">
        <f>MIN(AX7+AX8,AX6)</f>
        <v/>
      </c>
      <c r="AY9" s="12">
        <f>MIN(AY7+AY8,AY6)</f>
        <v/>
      </c>
      <c r="AZ9" s="12">
        <f>MIN(AZ7+AZ8,AZ6)</f>
        <v/>
      </c>
      <c r="BA9" s="12">
        <f>MIN(BA7+BA8,BA6)</f>
        <v/>
      </c>
      <c r="BB9" s="12">
        <f>MIN(BB7+BB8,BB6)</f>
        <v/>
      </c>
      <c r="BC9" s="12">
        <f>MIN(BC7+BC8,BC6)</f>
        <v/>
      </c>
      <c r="BD9" s="12">
        <f>MIN(BD7+BD8,BD6)</f>
        <v/>
      </c>
      <c r="BE9" s="12">
        <f>MIN(BE7+BE8,BE6)</f>
        <v/>
      </c>
      <c r="BF9" s="12">
        <f>MIN(BF7+BF8,BF6)</f>
        <v/>
      </c>
      <c r="BG9" s="12">
        <f>MIN(BG7+BG8,BG6)</f>
        <v/>
      </c>
      <c r="BH9" s="12">
        <f>MIN(BH7+BH8,BH6)</f>
        <v/>
      </c>
      <c r="BI9" s="12">
        <f>MIN(BI7+BI8,BI6)</f>
        <v/>
      </c>
      <c r="BJ9" s="12">
        <f>MIN(BJ7+BJ8,BJ6)</f>
        <v/>
      </c>
      <c r="BK9" s="12">
        <f>MIN(BK7+BK8,BK6)</f>
        <v/>
      </c>
      <c r="BL9" s="12">
        <f>MIN(BL7+BL8,BL6)</f>
        <v/>
      </c>
      <c r="BM9" s="12">
        <f>MIN(BM7+BM8,BM6)</f>
        <v/>
      </c>
      <c r="BN9" s="12">
        <f>MIN(BN7+BN8,BN6)</f>
        <v/>
      </c>
      <c r="BO9" s="12">
        <f>MIN(BO7+BO8,BO6)</f>
        <v/>
      </c>
      <c r="BP9" s="12">
        <f>MIN(BP7+BP8,BP6)</f>
        <v/>
      </c>
      <c r="BQ9" s="12">
        <f>MIN(BQ7+BQ8,BQ6)</f>
        <v/>
      </c>
      <c r="BR9" s="12">
        <f>MIN(BR7+BR8,BR6)</f>
        <v/>
      </c>
      <c r="BS9" s="12">
        <f>MIN(BS7+BS8,BS6)</f>
        <v/>
      </c>
      <c r="BT9" s="12">
        <f>MIN(BT7+BT8,BT6)</f>
        <v/>
      </c>
      <c r="BU9" s="12">
        <f>MIN(BU7+BU8,BU6)</f>
        <v/>
      </c>
      <c r="BV9" s="12">
        <f>MIN(BV7+BV8,BV6)</f>
        <v/>
      </c>
      <c r="BW9" s="12">
        <f>MIN(BW7+BW8,BW6)</f>
        <v/>
      </c>
      <c r="BX9" s="12">
        <f>MIN(BX7+BX8,BX6)</f>
        <v/>
      </c>
      <c r="BY9" s="12">
        <f>MIN(BY7+BY8,BY6)</f>
        <v/>
      </c>
      <c r="BZ9" s="12">
        <f>MIN(BZ7+BZ8,BZ6)</f>
        <v/>
      </c>
      <c r="CA9" s="12">
        <f>MIN(CA7+CA8,CA6)</f>
        <v/>
      </c>
      <c r="CB9" s="12">
        <f>MIN(CB7+CB8,CB6)</f>
        <v/>
      </c>
      <c r="CC9" s="12">
        <f>MIN(CC7+CC8,CC6)</f>
        <v/>
      </c>
      <c r="CD9" s="12">
        <f>MIN(CD7+CD8,CD6)</f>
        <v/>
      </c>
      <c r="CE9" s="12">
        <f>MIN(CE7+CE8,CE6)</f>
        <v/>
      </c>
      <c r="CF9" s="12">
        <f>MIN(CF7+CF8,CF6)</f>
        <v/>
      </c>
      <c r="CG9" s="12">
        <f>MIN(CG7+CG8,CG6)</f>
        <v/>
      </c>
      <c r="CH9" s="12">
        <f>MIN(CH7+CH8,CH6)</f>
        <v/>
      </c>
    </row>
    <row r="10">
      <c r="A10" s="3" t="inlineStr">
        <is>
          <t>Equity cash closing</t>
        </is>
      </c>
      <c r="B10" s="4" t="inlineStr">
        <is>
          <t>$</t>
        </is>
      </c>
      <c r="C10" s="12">
        <f>C7+C8-C9</f>
        <v/>
      </c>
      <c r="D10" s="12">
        <f>D7+D8-D9</f>
        <v/>
      </c>
      <c r="E10" s="12">
        <f>E7+E8-E9</f>
        <v/>
      </c>
      <c r="F10" s="12">
        <f>F7+F8-F9</f>
        <v/>
      </c>
      <c r="G10" s="12">
        <f>G7+G8-G9</f>
        <v/>
      </c>
      <c r="H10" s="12">
        <f>H7+H8-H9</f>
        <v/>
      </c>
      <c r="I10" s="12">
        <f>I7+I8-I9</f>
        <v/>
      </c>
      <c r="J10" s="12">
        <f>J7+J8-J9</f>
        <v/>
      </c>
      <c r="K10" s="12">
        <f>K7+K8-K9</f>
        <v/>
      </c>
      <c r="L10" s="12">
        <f>L7+L8-L9</f>
        <v/>
      </c>
      <c r="M10" s="12">
        <f>M7+M8-M9</f>
        <v/>
      </c>
      <c r="N10" s="12">
        <f>N7+N8-N9</f>
        <v/>
      </c>
      <c r="O10" s="12">
        <f>O7+O8-O9</f>
        <v/>
      </c>
      <c r="P10" s="12">
        <f>P7+P8-P9</f>
        <v/>
      </c>
      <c r="Q10" s="12">
        <f>Q7+Q8-Q9</f>
        <v/>
      </c>
      <c r="R10" s="12">
        <f>R7+R8-R9</f>
        <v/>
      </c>
      <c r="S10" s="12">
        <f>S7+S8-S9</f>
        <v/>
      </c>
      <c r="T10" s="12">
        <f>T7+T8-T9</f>
        <v/>
      </c>
      <c r="U10" s="12">
        <f>U7+U8-U9</f>
        <v/>
      </c>
      <c r="V10" s="12">
        <f>V7+V8-V9</f>
        <v/>
      </c>
      <c r="W10" s="12">
        <f>W7+W8-W9</f>
        <v/>
      </c>
      <c r="X10" s="12">
        <f>X7+X8-X9</f>
        <v/>
      </c>
      <c r="Y10" s="12">
        <f>Y7+Y8-Y9</f>
        <v/>
      </c>
      <c r="Z10" s="12">
        <f>Z7+Z8-Z9</f>
        <v/>
      </c>
      <c r="AA10" s="12">
        <f>AA7+AA8-AA9</f>
        <v/>
      </c>
      <c r="AB10" s="12">
        <f>AB7+AB8-AB9</f>
        <v/>
      </c>
      <c r="AC10" s="12">
        <f>AC7+AC8-AC9</f>
        <v/>
      </c>
      <c r="AD10" s="12">
        <f>AD7+AD8-AD9</f>
        <v/>
      </c>
      <c r="AE10" s="12">
        <f>AE7+AE8-AE9</f>
        <v/>
      </c>
      <c r="AF10" s="12">
        <f>AF7+AF8-AF9</f>
        <v/>
      </c>
      <c r="AG10" s="12">
        <f>AG7+AG8-AG9</f>
        <v/>
      </c>
      <c r="AH10" s="12">
        <f>AH7+AH8-AH9</f>
        <v/>
      </c>
      <c r="AI10" s="12">
        <f>AI7+AI8-AI9</f>
        <v/>
      </c>
      <c r="AJ10" s="12">
        <f>AJ7+AJ8-AJ9</f>
        <v/>
      </c>
      <c r="AK10" s="12">
        <f>AK7+AK8-AK9</f>
        <v/>
      </c>
      <c r="AL10" s="12">
        <f>AL7+AL8-AL9</f>
        <v/>
      </c>
      <c r="AM10" s="12">
        <f>AM7+AM8-AM9</f>
        <v/>
      </c>
      <c r="AN10" s="12">
        <f>AN7+AN8-AN9</f>
        <v/>
      </c>
      <c r="AO10" s="12">
        <f>AO7+AO8-AO9</f>
        <v/>
      </c>
      <c r="AP10" s="12">
        <f>AP7+AP8-AP9</f>
        <v/>
      </c>
      <c r="AQ10" s="12">
        <f>AQ7+AQ8-AQ9</f>
        <v/>
      </c>
      <c r="AR10" s="12">
        <f>AR7+AR8-AR9</f>
        <v/>
      </c>
      <c r="AS10" s="12">
        <f>AS7+AS8-AS9</f>
        <v/>
      </c>
      <c r="AT10" s="12">
        <f>AT7+AT8-AT9</f>
        <v/>
      </c>
      <c r="AU10" s="12">
        <f>AU7+AU8-AU9</f>
        <v/>
      </c>
      <c r="AV10" s="12">
        <f>AV7+AV8-AV9</f>
        <v/>
      </c>
      <c r="AW10" s="12">
        <f>AW7+AW8-AW9</f>
        <v/>
      </c>
      <c r="AX10" s="12">
        <f>AX7+AX8-AX9</f>
        <v/>
      </c>
      <c r="AY10" s="12">
        <f>AY7+AY8-AY9</f>
        <v/>
      </c>
      <c r="AZ10" s="12">
        <f>AZ7+AZ8-AZ9</f>
        <v/>
      </c>
      <c r="BA10" s="12">
        <f>BA7+BA8-BA9</f>
        <v/>
      </c>
      <c r="BB10" s="12">
        <f>BB7+BB8-BB9</f>
        <v/>
      </c>
      <c r="BC10" s="12">
        <f>BC7+BC8-BC9</f>
        <v/>
      </c>
      <c r="BD10" s="12">
        <f>BD7+BD8-BD9</f>
        <v/>
      </c>
      <c r="BE10" s="12">
        <f>BE7+BE8-BE9</f>
        <v/>
      </c>
      <c r="BF10" s="12">
        <f>BF7+BF8-BF9</f>
        <v/>
      </c>
      <c r="BG10" s="12">
        <f>BG7+BG8-BG9</f>
        <v/>
      </c>
      <c r="BH10" s="12">
        <f>BH7+BH8-BH9</f>
        <v/>
      </c>
      <c r="BI10" s="12">
        <f>BI7+BI8-BI9</f>
        <v/>
      </c>
      <c r="BJ10" s="12">
        <f>BJ7+BJ8-BJ9</f>
        <v/>
      </c>
      <c r="BK10" s="12">
        <f>BK7+BK8-BK9</f>
        <v/>
      </c>
      <c r="BL10" s="12">
        <f>BL7+BL8-BL9</f>
        <v/>
      </c>
      <c r="BM10" s="12">
        <f>BM7+BM8-BM9</f>
        <v/>
      </c>
      <c r="BN10" s="12">
        <f>BN7+BN8-BN9</f>
        <v/>
      </c>
      <c r="BO10" s="12">
        <f>BO7+BO8-BO9</f>
        <v/>
      </c>
      <c r="BP10" s="12">
        <f>BP7+BP8-BP9</f>
        <v/>
      </c>
      <c r="BQ10" s="12">
        <f>BQ7+BQ8-BQ9</f>
        <v/>
      </c>
      <c r="BR10" s="12">
        <f>BR7+BR8-BR9</f>
        <v/>
      </c>
      <c r="BS10" s="12">
        <f>BS7+BS8-BS9</f>
        <v/>
      </c>
      <c r="BT10" s="12">
        <f>BT7+BT8-BT9</f>
        <v/>
      </c>
      <c r="BU10" s="12">
        <f>BU7+BU8-BU9</f>
        <v/>
      </c>
      <c r="BV10" s="12">
        <f>BV7+BV8-BV9</f>
        <v/>
      </c>
      <c r="BW10" s="12">
        <f>BW7+BW8-BW9</f>
        <v/>
      </c>
      <c r="BX10" s="12">
        <f>BX7+BX8-BX9</f>
        <v/>
      </c>
      <c r="BY10" s="12">
        <f>BY7+BY8-BY9</f>
        <v/>
      </c>
      <c r="BZ10" s="12">
        <f>BZ7+BZ8-BZ9</f>
        <v/>
      </c>
      <c r="CA10" s="12">
        <f>CA7+CA8-CA9</f>
        <v/>
      </c>
      <c r="CB10" s="12">
        <f>CB7+CB8-CB9</f>
        <v/>
      </c>
      <c r="CC10" s="12">
        <f>CC7+CC8-CC9</f>
        <v/>
      </c>
      <c r="CD10" s="12">
        <f>CD7+CD8-CD9</f>
        <v/>
      </c>
      <c r="CE10" s="12">
        <f>CE7+CE8-CE9</f>
        <v/>
      </c>
      <c r="CF10" s="12">
        <f>CF7+CF8-CF9</f>
        <v/>
      </c>
      <c r="CG10" s="12">
        <f>CG7+CG8-CG9</f>
        <v/>
      </c>
      <c r="CH10" s="12">
        <f>CH7+CH8-CH9</f>
        <v/>
      </c>
    </row>
    <row r="11">
      <c r="A11" s="3" t="inlineStr">
        <is>
          <t>Draws for spend</t>
        </is>
      </c>
      <c r="B11" s="4" t="inlineStr">
        <is>
          <t>$</t>
        </is>
      </c>
      <c r="C11" s="12">
        <f>C6-C9</f>
        <v/>
      </c>
      <c r="D11" s="12">
        <f>D6-D9</f>
        <v/>
      </c>
      <c r="E11" s="12">
        <f>E6-E9</f>
        <v/>
      </c>
      <c r="F11" s="12">
        <f>F6-F9</f>
        <v/>
      </c>
      <c r="G11" s="12">
        <f>G6-G9</f>
        <v/>
      </c>
      <c r="H11" s="12">
        <f>H6-H9</f>
        <v/>
      </c>
      <c r="I11" s="12">
        <f>I6-I9</f>
        <v/>
      </c>
      <c r="J11" s="12">
        <f>J6-J9</f>
        <v/>
      </c>
      <c r="K11" s="12">
        <f>K6-K9</f>
        <v/>
      </c>
      <c r="L11" s="12">
        <f>L6-L9</f>
        <v/>
      </c>
      <c r="M11" s="12">
        <f>M6-M9</f>
        <v/>
      </c>
      <c r="N11" s="12">
        <f>N6-N9</f>
        <v/>
      </c>
      <c r="O11" s="12">
        <f>O6-O9</f>
        <v/>
      </c>
      <c r="P11" s="12">
        <f>P6-P9</f>
        <v/>
      </c>
      <c r="Q11" s="12">
        <f>Q6-Q9</f>
        <v/>
      </c>
      <c r="R11" s="12">
        <f>R6-R9</f>
        <v/>
      </c>
      <c r="S11" s="12">
        <f>S6-S9</f>
        <v/>
      </c>
      <c r="T11" s="12">
        <f>T6-T9</f>
        <v/>
      </c>
      <c r="U11" s="12">
        <f>U6-U9</f>
        <v/>
      </c>
      <c r="V11" s="12">
        <f>V6-V9</f>
        <v/>
      </c>
      <c r="W11" s="12">
        <f>W6-W9</f>
        <v/>
      </c>
      <c r="X11" s="12">
        <f>X6-X9</f>
        <v/>
      </c>
      <c r="Y11" s="12">
        <f>Y6-Y9</f>
        <v/>
      </c>
      <c r="Z11" s="12">
        <f>Z6-Z9</f>
        <v/>
      </c>
      <c r="AA11" s="12">
        <f>AA6-AA9</f>
        <v/>
      </c>
      <c r="AB11" s="12">
        <f>AB6-AB9</f>
        <v/>
      </c>
      <c r="AC11" s="12">
        <f>AC6-AC9</f>
        <v/>
      </c>
      <c r="AD11" s="12">
        <f>AD6-AD9</f>
        <v/>
      </c>
      <c r="AE11" s="12">
        <f>AE6-AE9</f>
        <v/>
      </c>
      <c r="AF11" s="12">
        <f>AF6-AF9</f>
        <v/>
      </c>
      <c r="AG11" s="12">
        <f>AG6-AG9</f>
        <v/>
      </c>
      <c r="AH11" s="12">
        <f>AH6-AH9</f>
        <v/>
      </c>
      <c r="AI11" s="12">
        <f>AI6-AI9</f>
        <v/>
      </c>
      <c r="AJ11" s="12">
        <f>AJ6-AJ9</f>
        <v/>
      </c>
      <c r="AK11" s="12">
        <f>AK6-AK9</f>
        <v/>
      </c>
      <c r="AL11" s="12">
        <f>AL6-AL9</f>
        <v/>
      </c>
      <c r="AM11" s="12">
        <f>AM6-AM9</f>
        <v/>
      </c>
      <c r="AN11" s="12">
        <f>AN6-AN9</f>
        <v/>
      </c>
      <c r="AO11" s="12">
        <f>AO6-AO9</f>
        <v/>
      </c>
      <c r="AP11" s="12">
        <f>AP6-AP9</f>
        <v/>
      </c>
      <c r="AQ11" s="12">
        <f>AQ6-AQ9</f>
        <v/>
      </c>
      <c r="AR11" s="12">
        <f>AR6-AR9</f>
        <v/>
      </c>
      <c r="AS11" s="12">
        <f>AS6-AS9</f>
        <v/>
      </c>
      <c r="AT11" s="12">
        <f>AT6-AT9</f>
        <v/>
      </c>
      <c r="AU11" s="12">
        <f>AU6-AU9</f>
        <v/>
      </c>
      <c r="AV11" s="12">
        <f>AV6-AV9</f>
        <v/>
      </c>
      <c r="AW11" s="12">
        <f>AW6-AW9</f>
        <v/>
      </c>
      <c r="AX11" s="12">
        <f>AX6-AX9</f>
        <v/>
      </c>
      <c r="AY11" s="12">
        <f>AY6-AY9</f>
        <v/>
      </c>
      <c r="AZ11" s="12">
        <f>AZ6-AZ9</f>
        <v/>
      </c>
      <c r="BA11" s="12">
        <f>BA6-BA9</f>
        <v/>
      </c>
      <c r="BB11" s="12">
        <f>BB6-BB9</f>
        <v/>
      </c>
      <c r="BC11" s="12">
        <f>BC6-BC9</f>
        <v/>
      </c>
      <c r="BD11" s="12">
        <f>BD6-BD9</f>
        <v/>
      </c>
      <c r="BE11" s="12">
        <f>BE6-BE9</f>
        <v/>
      </c>
      <c r="BF11" s="12">
        <f>BF6-BF9</f>
        <v/>
      </c>
      <c r="BG11" s="12">
        <f>BG6-BG9</f>
        <v/>
      </c>
      <c r="BH11" s="12">
        <f>BH6-BH9</f>
        <v/>
      </c>
      <c r="BI11" s="12">
        <f>BI6-BI9</f>
        <v/>
      </c>
      <c r="BJ11" s="12">
        <f>BJ6-BJ9</f>
        <v/>
      </c>
      <c r="BK11" s="12">
        <f>BK6-BK9</f>
        <v/>
      </c>
      <c r="BL11" s="12">
        <f>BL6-BL9</f>
        <v/>
      </c>
      <c r="BM11" s="12">
        <f>BM6-BM9</f>
        <v/>
      </c>
      <c r="BN11" s="12">
        <f>BN6-BN9</f>
        <v/>
      </c>
      <c r="BO11" s="12">
        <f>BO6-BO9</f>
        <v/>
      </c>
      <c r="BP11" s="12">
        <f>BP6-BP9</f>
        <v/>
      </c>
      <c r="BQ11" s="12">
        <f>BQ6-BQ9</f>
        <v/>
      </c>
      <c r="BR11" s="12">
        <f>BR6-BR9</f>
        <v/>
      </c>
      <c r="BS11" s="12">
        <f>BS6-BS9</f>
        <v/>
      </c>
      <c r="BT11" s="12">
        <f>BT6-BT9</f>
        <v/>
      </c>
      <c r="BU11" s="12">
        <f>BU6-BU9</f>
        <v/>
      </c>
      <c r="BV11" s="12">
        <f>BV6-BV9</f>
        <v/>
      </c>
      <c r="BW11" s="12">
        <f>BW6-BW9</f>
        <v/>
      </c>
      <c r="BX11" s="12">
        <f>BX6-BX9</f>
        <v/>
      </c>
      <c r="BY11" s="12">
        <f>BY6-BY9</f>
        <v/>
      </c>
      <c r="BZ11" s="12">
        <f>BZ6-BZ9</f>
        <v/>
      </c>
      <c r="CA11" s="12">
        <f>CA6-CA9</f>
        <v/>
      </c>
      <c r="CB11" s="12">
        <f>CB6-CB9</f>
        <v/>
      </c>
      <c r="CC11" s="12">
        <f>CC6-CC9</f>
        <v/>
      </c>
      <c r="CD11" s="12">
        <f>CD6-CD9</f>
        <v/>
      </c>
      <c r="CE11" s="12">
        <f>CE6-CE9</f>
        <v/>
      </c>
      <c r="CF11" s="12">
        <f>CF6-CF9</f>
        <v/>
      </c>
      <c r="CG11" s="12">
        <f>CG6-CG9</f>
        <v/>
      </c>
      <c r="CH11" s="12">
        <f>CH6-CH9</f>
        <v/>
      </c>
    </row>
    <row r="12">
      <c r="A12" s="3" t="inlineStr">
        <is>
          <t>Debt opening balance</t>
        </is>
      </c>
      <c r="B12" s="4" t="inlineStr">
        <is>
          <t>$</t>
        </is>
      </c>
      <c r="C12" s="12">
        <f>0</f>
        <v/>
      </c>
      <c r="D12" s="12">
        <f>C21</f>
        <v/>
      </c>
      <c r="E12" s="12">
        <f>D21</f>
        <v/>
      </c>
      <c r="F12" s="12">
        <f>E21</f>
        <v/>
      </c>
      <c r="G12" s="12">
        <f>F21</f>
        <v/>
      </c>
      <c r="H12" s="12">
        <f>G21</f>
        <v/>
      </c>
      <c r="I12" s="12">
        <f>H21</f>
        <v/>
      </c>
      <c r="J12" s="12">
        <f>I21</f>
        <v/>
      </c>
      <c r="K12" s="12">
        <f>J21</f>
        <v/>
      </c>
      <c r="L12" s="12">
        <f>K21</f>
        <v/>
      </c>
      <c r="M12" s="12">
        <f>L21</f>
        <v/>
      </c>
      <c r="N12" s="12">
        <f>M21</f>
        <v/>
      </c>
      <c r="O12" s="12">
        <f>N21</f>
        <v/>
      </c>
      <c r="P12" s="12">
        <f>O21</f>
        <v/>
      </c>
      <c r="Q12" s="12">
        <f>P21</f>
        <v/>
      </c>
      <c r="R12" s="12">
        <f>Q21</f>
        <v/>
      </c>
      <c r="S12" s="12">
        <f>R21</f>
        <v/>
      </c>
      <c r="T12" s="12">
        <f>S21</f>
        <v/>
      </c>
      <c r="U12" s="12">
        <f>T21</f>
        <v/>
      </c>
      <c r="V12" s="12">
        <f>U21</f>
        <v/>
      </c>
      <c r="W12" s="12">
        <f>V21</f>
        <v/>
      </c>
      <c r="X12" s="12">
        <f>W21</f>
        <v/>
      </c>
      <c r="Y12" s="12">
        <f>X21</f>
        <v/>
      </c>
      <c r="Z12" s="12">
        <f>Y21</f>
        <v/>
      </c>
      <c r="AA12" s="12">
        <f>Z21</f>
        <v/>
      </c>
      <c r="AB12" s="12">
        <f>AA21</f>
        <v/>
      </c>
      <c r="AC12" s="12">
        <f>AB21</f>
        <v/>
      </c>
      <c r="AD12" s="12">
        <f>AC21</f>
        <v/>
      </c>
      <c r="AE12" s="12">
        <f>AD21</f>
        <v/>
      </c>
      <c r="AF12" s="12">
        <f>AE21</f>
        <v/>
      </c>
      <c r="AG12" s="12">
        <f>AF21</f>
        <v/>
      </c>
      <c r="AH12" s="12">
        <f>AG21</f>
        <v/>
      </c>
      <c r="AI12" s="12">
        <f>AH21</f>
        <v/>
      </c>
      <c r="AJ12" s="12">
        <f>AI21</f>
        <v/>
      </c>
      <c r="AK12" s="12">
        <f>AJ21</f>
        <v/>
      </c>
      <c r="AL12" s="12">
        <f>AK21</f>
        <v/>
      </c>
      <c r="AM12" s="12">
        <f>AL21</f>
        <v/>
      </c>
      <c r="AN12" s="12">
        <f>AM21</f>
        <v/>
      </c>
      <c r="AO12" s="12">
        <f>AN21</f>
        <v/>
      </c>
      <c r="AP12" s="12">
        <f>AO21</f>
        <v/>
      </c>
      <c r="AQ12" s="12">
        <f>AP21</f>
        <v/>
      </c>
      <c r="AR12" s="12">
        <f>AQ21</f>
        <v/>
      </c>
      <c r="AS12" s="12">
        <f>AR21</f>
        <v/>
      </c>
      <c r="AT12" s="12">
        <f>AS21</f>
        <v/>
      </c>
      <c r="AU12" s="12">
        <f>AT21</f>
        <v/>
      </c>
      <c r="AV12" s="12">
        <f>AU21</f>
        <v/>
      </c>
      <c r="AW12" s="12">
        <f>AV21</f>
        <v/>
      </c>
      <c r="AX12" s="12">
        <f>AW21</f>
        <v/>
      </c>
      <c r="AY12" s="12">
        <f>AX21</f>
        <v/>
      </c>
      <c r="AZ12" s="12">
        <f>AY21</f>
        <v/>
      </c>
      <c r="BA12" s="12">
        <f>AZ21</f>
        <v/>
      </c>
      <c r="BB12" s="12">
        <f>BA21</f>
        <v/>
      </c>
      <c r="BC12" s="12">
        <f>BB21</f>
        <v/>
      </c>
      <c r="BD12" s="12">
        <f>BC21</f>
        <v/>
      </c>
      <c r="BE12" s="12">
        <f>BD21</f>
        <v/>
      </c>
      <c r="BF12" s="12">
        <f>BE21</f>
        <v/>
      </c>
      <c r="BG12" s="12">
        <f>BF21</f>
        <v/>
      </c>
      <c r="BH12" s="12">
        <f>BG21</f>
        <v/>
      </c>
      <c r="BI12" s="12">
        <f>BH21</f>
        <v/>
      </c>
      <c r="BJ12" s="12">
        <f>BI21</f>
        <v/>
      </c>
      <c r="BK12" s="12">
        <f>BJ21</f>
        <v/>
      </c>
      <c r="BL12" s="12">
        <f>BK21</f>
        <v/>
      </c>
      <c r="BM12" s="12">
        <f>BL21</f>
        <v/>
      </c>
      <c r="BN12" s="12">
        <f>BM21</f>
        <v/>
      </c>
      <c r="BO12" s="12">
        <f>BN21</f>
        <v/>
      </c>
      <c r="BP12" s="12">
        <f>BO21</f>
        <v/>
      </c>
      <c r="BQ12" s="12">
        <f>BP21</f>
        <v/>
      </c>
      <c r="BR12" s="12">
        <f>BQ21</f>
        <v/>
      </c>
      <c r="BS12" s="12">
        <f>BR21</f>
        <v/>
      </c>
      <c r="BT12" s="12">
        <f>BS21</f>
        <v/>
      </c>
      <c r="BU12" s="12">
        <f>BT21</f>
        <v/>
      </c>
      <c r="BV12" s="12">
        <f>BU21</f>
        <v/>
      </c>
      <c r="BW12" s="12">
        <f>BV21</f>
        <v/>
      </c>
      <c r="BX12" s="12">
        <f>BW21</f>
        <v/>
      </c>
      <c r="BY12" s="12">
        <f>BX21</f>
        <v/>
      </c>
      <c r="BZ12" s="12">
        <f>BY21</f>
        <v/>
      </c>
      <c r="CA12" s="12">
        <f>BZ21</f>
        <v/>
      </c>
      <c r="CB12" s="12">
        <f>CA21</f>
        <v/>
      </c>
      <c r="CC12" s="12">
        <f>CB21</f>
        <v/>
      </c>
      <c r="CD12" s="12">
        <f>CC21</f>
        <v/>
      </c>
      <c r="CE12" s="12">
        <f>CD21</f>
        <v/>
      </c>
      <c r="CF12" s="12">
        <f>CE21</f>
        <v/>
      </c>
      <c r="CG12" s="12">
        <f>CF21</f>
        <v/>
      </c>
      <c r="CH12" s="12">
        <f>CG21</f>
        <v/>
      </c>
    </row>
    <row r="13">
      <c r="A13" s="3" t="inlineStr">
        <is>
          <t>Interest on opening balance</t>
        </is>
      </c>
      <c r="B13" s="4" t="inlineStr">
        <is>
          <t>$</t>
        </is>
      </c>
      <c r="C13" s="12">
        <f>C12*(MAX(SOFR_FLOOR_PCT,INDEX(SOFR!$C$2:$C$85,C2))+CT_SPREAD_PCT)/12</f>
        <v/>
      </c>
      <c r="D13" s="12">
        <f>D12*(MAX(SOFR_FLOOR_PCT,INDEX(SOFR!$C$2:$C$85,D2))+CT_SPREAD_PCT)/12</f>
        <v/>
      </c>
      <c r="E13" s="12">
        <f>E12*(MAX(SOFR_FLOOR_PCT,INDEX(SOFR!$C$2:$C$85,E2))+CT_SPREAD_PCT)/12</f>
        <v/>
      </c>
      <c r="F13" s="12">
        <f>F12*(MAX(SOFR_FLOOR_PCT,INDEX(SOFR!$C$2:$C$85,F2))+CT_SPREAD_PCT)/12</f>
        <v/>
      </c>
      <c r="G13" s="12">
        <f>G12*(MAX(SOFR_FLOOR_PCT,INDEX(SOFR!$C$2:$C$85,G2))+CT_SPREAD_PCT)/12</f>
        <v/>
      </c>
      <c r="H13" s="12">
        <f>H12*(MAX(SOFR_FLOOR_PCT,INDEX(SOFR!$C$2:$C$85,H2))+CT_SPREAD_PCT)/12</f>
        <v/>
      </c>
      <c r="I13" s="12">
        <f>I12*(MAX(SOFR_FLOOR_PCT,INDEX(SOFR!$C$2:$C$85,I2))+CT_SPREAD_PCT)/12</f>
        <v/>
      </c>
      <c r="J13" s="12">
        <f>J12*(MAX(SOFR_FLOOR_PCT,INDEX(SOFR!$C$2:$C$85,J2))+CT_SPREAD_PCT)/12</f>
        <v/>
      </c>
      <c r="K13" s="12">
        <f>K12*(MAX(SOFR_FLOOR_PCT,INDEX(SOFR!$C$2:$C$85,K2))+CT_SPREAD_PCT)/12</f>
        <v/>
      </c>
      <c r="L13" s="12">
        <f>L12*(MAX(SOFR_FLOOR_PCT,INDEX(SOFR!$C$2:$C$85,L2))+CT_SPREAD_PCT)/12</f>
        <v/>
      </c>
      <c r="M13" s="12">
        <f>M12*(MAX(SOFR_FLOOR_PCT,INDEX(SOFR!$C$2:$C$85,M2))+CT_SPREAD_PCT)/12</f>
        <v/>
      </c>
      <c r="N13" s="12">
        <f>N12*(MAX(SOFR_FLOOR_PCT,INDEX(SOFR!$C$2:$C$85,N2))+CT_SPREAD_PCT)/12</f>
        <v/>
      </c>
      <c r="O13" s="12">
        <f>O12*(MAX(SOFR_FLOOR_PCT,INDEX(SOFR!$C$2:$C$85,O2))+CT_SPREAD_PCT)/12</f>
        <v/>
      </c>
      <c r="P13" s="12">
        <f>P12*(MAX(SOFR_FLOOR_PCT,INDEX(SOFR!$C$2:$C$85,P2))+CT_SPREAD_PCT)/12</f>
        <v/>
      </c>
      <c r="Q13" s="12">
        <f>Q12*(MAX(SOFR_FLOOR_PCT,INDEX(SOFR!$C$2:$C$85,Q2))+CT_SPREAD_PCT)/12</f>
        <v/>
      </c>
      <c r="R13" s="12">
        <f>R12*(MAX(SOFR_FLOOR_PCT,INDEX(SOFR!$C$2:$C$85,R2))+CT_SPREAD_PCT)/12</f>
        <v/>
      </c>
      <c r="S13" s="12">
        <f>S12*(MAX(SOFR_FLOOR_PCT,INDEX(SOFR!$C$2:$C$85,S2))+CT_SPREAD_PCT)/12</f>
        <v/>
      </c>
      <c r="T13" s="12">
        <f>T12*(MAX(SOFR_FLOOR_PCT,INDEX(SOFR!$C$2:$C$85,T2))+CT_SPREAD_PCT)/12</f>
        <v/>
      </c>
      <c r="U13" s="12">
        <f>U12*(MAX(SOFR_FLOOR_PCT,INDEX(SOFR!$C$2:$C$85,U2))+CT_SPREAD_PCT)/12</f>
        <v/>
      </c>
      <c r="V13" s="12">
        <f>V12*(MAX(SOFR_FLOOR_PCT,INDEX(SOFR!$C$2:$C$85,V2))+CT_SPREAD_PCT)/12</f>
        <v/>
      </c>
      <c r="W13" s="12">
        <f>W12*(MAX(SOFR_FLOOR_PCT,INDEX(SOFR!$C$2:$C$85,W2))+CT_SPREAD_PCT)/12</f>
        <v/>
      </c>
      <c r="X13" s="12">
        <f>X12*(MAX(SOFR_FLOOR_PCT,INDEX(SOFR!$C$2:$C$85,X2))+CT_SPREAD_PCT)/12</f>
        <v/>
      </c>
      <c r="Y13" s="12">
        <f>Y12*(MAX(SOFR_FLOOR_PCT,INDEX(SOFR!$C$2:$C$85,Y2))+CT_SPREAD_PCT)/12</f>
        <v/>
      </c>
      <c r="Z13" s="12">
        <f>Z12*(MAX(SOFR_FLOOR_PCT,INDEX(SOFR!$C$2:$C$85,Z2))+CT_SPREAD_PCT)/12</f>
        <v/>
      </c>
      <c r="AA13" s="12">
        <f>AA12*(MAX(SOFR_FLOOR_PCT,INDEX(SOFR!$C$2:$C$85,AA2))+CT_SPREAD_PCT)/12</f>
        <v/>
      </c>
      <c r="AB13" s="12">
        <f>AB12*(MAX(SOFR_FLOOR_PCT,INDEX(SOFR!$C$2:$C$85,AB2))+CT_SPREAD_PCT)/12</f>
        <v/>
      </c>
      <c r="AC13" s="12">
        <f>AC12*(MAX(SOFR_FLOOR_PCT,INDEX(SOFR!$C$2:$C$85,AC2))+CT_SPREAD_PCT)/12</f>
        <v/>
      </c>
      <c r="AD13" s="12">
        <f>AD12*(MAX(SOFR_FLOOR_PCT,INDEX(SOFR!$C$2:$C$85,AD2))+CT_SPREAD_PCT)/12</f>
        <v/>
      </c>
      <c r="AE13" s="12">
        <f>AE12*(MAX(SOFR_FLOOR_PCT,INDEX(SOFR!$C$2:$C$85,AE2))+CT_SPREAD_PCT)/12</f>
        <v/>
      </c>
      <c r="AF13" s="12">
        <f>AF12*(MAX(SOFR_FLOOR_PCT,INDEX(SOFR!$C$2:$C$85,AF2))+CT_SPREAD_PCT)/12</f>
        <v/>
      </c>
      <c r="AG13" s="12">
        <f>AG12*(MAX(SOFR_FLOOR_PCT,INDEX(SOFR!$C$2:$C$85,AG2))+CT_SPREAD_PCT)/12</f>
        <v/>
      </c>
      <c r="AH13" s="12">
        <f>AH12*(MAX(SOFR_FLOOR_PCT,INDEX(SOFR!$C$2:$C$85,AH2))+CT_SPREAD_PCT)/12</f>
        <v/>
      </c>
      <c r="AI13" s="12">
        <f>AI12*(MAX(SOFR_FLOOR_PCT,INDEX(SOFR!$C$2:$C$85,AI2))+CT_SPREAD_PCT)/12</f>
        <v/>
      </c>
      <c r="AJ13" s="12">
        <f>AJ12*(MAX(SOFR_FLOOR_PCT,INDEX(SOFR!$C$2:$C$85,AJ2))+CT_SPREAD_PCT)/12</f>
        <v/>
      </c>
      <c r="AK13" s="12">
        <f>AK12*(MAX(SOFR_FLOOR_PCT,INDEX(SOFR!$C$2:$C$85,AK2))+CT_SPREAD_PCT)/12</f>
        <v/>
      </c>
      <c r="AL13" s="12">
        <f>AL12*(MAX(SOFR_FLOOR_PCT,INDEX(SOFR!$C$2:$C$85,AL2))+CT_SPREAD_PCT)/12</f>
        <v/>
      </c>
      <c r="AM13" s="12">
        <f>AM12*(MAX(SOFR_FLOOR_PCT,INDEX(SOFR!$C$2:$C$85,AM2))+CT_SPREAD_PCT)/12</f>
        <v/>
      </c>
      <c r="AN13" s="12">
        <f>AN12*(MAX(SOFR_FLOOR_PCT,INDEX(SOFR!$C$2:$C$85,AN2))+CT_SPREAD_PCT)/12</f>
        <v/>
      </c>
      <c r="AO13" s="12">
        <f>AO12*(MAX(SOFR_FLOOR_PCT,INDEX(SOFR!$C$2:$C$85,AO2))+CT_SPREAD_PCT)/12</f>
        <v/>
      </c>
      <c r="AP13" s="12">
        <f>AP12*(MAX(SOFR_FLOOR_PCT,INDEX(SOFR!$C$2:$C$85,AP2))+CT_SPREAD_PCT)/12</f>
        <v/>
      </c>
      <c r="AQ13" s="12">
        <f>AQ12*(MAX(SOFR_FLOOR_PCT,INDEX(SOFR!$C$2:$C$85,AQ2))+CT_SPREAD_PCT)/12</f>
        <v/>
      </c>
      <c r="AR13" s="12">
        <f>AR12*(MAX(SOFR_FLOOR_PCT,INDEX(SOFR!$C$2:$C$85,AR2))+CT_SPREAD_PCT)/12</f>
        <v/>
      </c>
      <c r="AS13" s="12">
        <f>AS12*(MAX(SOFR_FLOOR_PCT,INDEX(SOFR!$C$2:$C$85,AS2))+CT_SPREAD_PCT)/12</f>
        <v/>
      </c>
      <c r="AT13" s="12">
        <f>AT12*(MAX(SOFR_FLOOR_PCT,INDEX(SOFR!$C$2:$C$85,AT2))+CT_SPREAD_PCT)/12</f>
        <v/>
      </c>
      <c r="AU13" s="12">
        <f>AU12*(MAX(SOFR_FLOOR_PCT,INDEX(SOFR!$C$2:$C$85,AU2))+CT_SPREAD_PCT)/12</f>
        <v/>
      </c>
      <c r="AV13" s="12">
        <f>AV12*(MAX(SOFR_FLOOR_PCT,INDEX(SOFR!$C$2:$C$85,AV2))+CT_SPREAD_PCT)/12</f>
        <v/>
      </c>
      <c r="AW13" s="12">
        <f>AW12*(MAX(SOFR_FLOOR_PCT,INDEX(SOFR!$C$2:$C$85,AW2))+CT_SPREAD_PCT)/12</f>
        <v/>
      </c>
      <c r="AX13" s="12">
        <f>AX12*(MAX(SOFR_FLOOR_PCT,INDEX(SOFR!$C$2:$C$85,AX2))+CT_SPREAD_PCT)/12</f>
        <v/>
      </c>
      <c r="AY13" s="12">
        <f>AY12*(MAX(SOFR_FLOOR_PCT,INDEX(SOFR!$C$2:$C$85,AY2))+CT_SPREAD_PCT)/12</f>
        <v/>
      </c>
      <c r="AZ13" s="12">
        <f>AZ12*(MAX(SOFR_FLOOR_PCT,INDEX(SOFR!$C$2:$C$85,AZ2))+CT_SPREAD_PCT)/12</f>
        <v/>
      </c>
      <c r="BA13" s="12">
        <f>BA12*(MAX(SOFR_FLOOR_PCT,INDEX(SOFR!$C$2:$C$85,BA2))+CT_SPREAD_PCT)/12</f>
        <v/>
      </c>
      <c r="BB13" s="12">
        <f>BB12*(MAX(SOFR_FLOOR_PCT,INDEX(SOFR!$C$2:$C$85,BB2))+CT_SPREAD_PCT)/12</f>
        <v/>
      </c>
      <c r="BC13" s="12">
        <f>BC12*(MAX(SOFR_FLOOR_PCT,INDEX(SOFR!$C$2:$C$85,BC2))+CT_SPREAD_PCT)/12</f>
        <v/>
      </c>
      <c r="BD13" s="12">
        <f>BD12*(MAX(SOFR_FLOOR_PCT,INDEX(SOFR!$C$2:$C$85,BD2))+CT_SPREAD_PCT)/12</f>
        <v/>
      </c>
      <c r="BE13" s="12">
        <f>BE12*(MAX(SOFR_FLOOR_PCT,INDEX(SOFR!$C$2:$C$85,BE2))+CT_SPREAD_PCT)/12</f>
        <v/>
      </c>
      <c r="BF13" s="12">
        <f>BF12*(MAX(SOFR_FLOOR_PCT,INDEX(SOFR!$C$2:$C$85,BF2))+CT_SPREAD_PCT)/12</f>
        <v/>
      </c>
      <c r="BG13" s="12">
        <f>BG12*(MAX(SOFR_FLOOR_PCT,INDEX(SOFR!$C$2:$C$85,BG2))+CT_SPREAD_PCT)/12</f>
        <v/>
      </c>
      <c r="BH13" s="12">
        <f>BH12*(MAX(SOFR_FLOOR_PCT,INDEX(SOFR!$C$2:$C$85,BH2))+CT_SPREAD_PCT)/12</f>
        <v/>
      </c>
      <c r="BI13" s="12">
        <f>BI12*(MAX(SOFR_FLOOR_PCT,INDEX(SOFR!$C$2:$C$85,BI2))+CT_SPREAD_PCT)/12</f>
        <v/>
      </c>
      <c r="BJ13" s="12">
        <f>BJ12*(MAX(SOFR_FLOOR_PCT,INDEX(SOFR!$C$2:$C$85,BJ2))+CT_SPREAD_PCT)/12</f>
        <v/>
      </c>
      <c r="BK13" s="12">
        <f>BK12*(MAX(SOFR_FLOOR_PCT,INDEX(SOFR!$C$2:$C$85,BK2))+CT_SPREAD_PCT)/12</f>
        <v/>
      </c>
      <c r="BL13" s="12">
        <f>BL12*(MAX(SOFR_FLOOR_PCT,INDEX(SOFR!$C$2:$C$85,BL2))+CT_SPREAD_PCT)/12</f>
        <v/>
      </c>
      <c r="BM13" s="12">
        <f>BM12*(MAX(SOFR_FLOOR_PCT,INDEX(SOFR!$C$2:$C$85,BM2))+CT_SPREAD_PCT)/12</f>
        <v/>
      </c>
      <c r="BN13" s="12">
        <f>BN12*(MAX(SOFR_FLOOR_PCT,INDEX(SOFR!$C$2:$C$85,BN2))+CT_SPREAD_PCT)/12</f>
        <v/>
      </c>
      <c r="BO13" s="12">
        <f>BO12*(MAX(SOFR_FLOOR_PCT,INDEX(SOFR!$C$2:$C$85,BO2))+CT_SPREAD_PCT)/12</f>
        <v/>
      </c>
      <c r="BP13" s="12">
        <f>BP12*(MAX(SOFR_FLOOR_PCT,INDEX(SOFR!$C$2:$C$85,BP2))+CT_SPREAD_PCT)/12</f>
        <v/>
      </c>
      <c r="BQ13" s="12">
        <f>BQ12*(MAX(SOFR_FLOOR_PCT,INDEX(SOFR!$C$2:$C$85,BQ2))+CT_SPREAD_PCT)/12</f>
        <v/>
      </c>
      <c r="BR13" s="12">
        <f>BR12*(MAX(SOFR_FLOOR_PCT,INDEX(SOFR!$C$2:$C$85,BR2))+CT_SPREAD_PCT)/12</f>
        <v/>
      </c>
      <c r="BS13" s="12">
        <f>BS12*(MAX(SOFR_FLOOR_PCT,INDEX(SOFR!$C$2:$C$85,BS2))+CT_SPREAD_PCT)/12</f>
        <v/>
      </c>
      <c r="BT13" s="12">
        <f>BT12*(MAX(SOFR_FLOOR_PCT,INDEX(SOFR!$C$2:$C$85,BT2))+CT_SPREAD_PCT)/12</f>
        <v/>
      </c>
      <c r="BU13" s="12">
        <f>BU12*(MAX(SOFR_FLOOR_PCT,INDEX(SOFR!$C$2:$C$85,BU2))+CT_SPREAD_PCT)/12</f>
        <v/>
      </c>
      <c r="BV13" s="12">
        <f>BV12*(MAX(SOFR_FLOOR_PCT,INDEX(SOFR!$C$2:$C$85,BV2))+CT_SPREAD_PCT)/12</f>
        <v/>
      </c>
      <c r="BW13" s="12">
        <f>BW12*(MAX(SOFR_FLOOR_PCT,INDEX(SOFR!$C$2:$C$85,BW2))+CT_SPREAD_PCT)/12</f>
        <v/>
      </c>
      <c r="BX13" s="12">
        <f>BX12*(MAX(SOFR_FLOOR_PCT,INDEX(SOFR!$C$2:$C$85,BX2))+CT_SPREAD_PCT)/12</f>
        <v/>
      </c>
      <c r="BY13" s="12">
        <f>BY12*(MAX(SOFR_FLOOR_PCT,INDEX(SOFR!$C$2:$C$85,BY2))+CT_SPREAD_PCT)/12</f>
        <v/>
      </c>
      <c r="BZ13" s="12">
        <f>BZ12*(MAX(SOFR_FLOOR_PCT,INDEX(SOFR!$C$2:$C$85,BZ2))+CT_SPREAD_PCT)/12</f>
        <v/>
      </c>
      <c r="CA13" s="12">
        <f>CA12*(MAX(SOFR_FLOOR_PCT,INDEX(SOFR!$C$2:$C$85,CA2))+CT_SPREAD_PCT)/12</f>
        <v/>
      </c>
      <c r="CB13" s="12">
        <f>CB12*(MAX(SOFR_FLOOR_PCT,INDEX(SOFR!$C$2:$C$85,CB2))+CT_SPREAD_PCT)/12</f>
        <v/>
      </c>
      <c r="CC13" s="12">
        <f>CC12*(MAX(SOFR_FLOOR_PCT,INDEX(SOFR!$C$2:$C$85,CC2))+CT_SPREAD_PCT)/12</f>
        <v/>
      </c>
      <c r="CD13" s="12">
        <f>CD12*(MAX(SOFR_FLOOR_PCT,INDEX(SOFR!$C$2:$C$85,CD2))+CT_SPREAD_PCT)/12</f>
        <v/>
      </c>
      <c r="CE13" s="12">
        <f>CE12*(MAX(SOFR_FLOOR_PCT,INDEX(SOFR!$C$2:$C$85,CE2))+CT_SPREAD_PCT)/12</f>
        <v/>
      </c>
      <c r="CF13" s="12">
        <f>CF12*(MAX(SOFR_FLOOR_PCT,INDEX(SOFR!$C$2:$C$85,CF2))+CT_SPREAD_PCT)/12</f>
        <v/>
      </c>
      <c r="CG13" s="12">
        <f>CG12*(MAX(SOFR_FLOOR_PCT,INDEX(SOFR!$C$2:$C$85,CG2))+CT_SPREAD_PCT)/12</f>
        <v/>
      </c>
      <c r="CH13" s="12">
        <f>CH12*(MAX(SOFR_FLOOR_PCT,INDEX(SOFR!$C$2:$C$85,CH2))+CT_SPREAD_PCT)/12</f>
        <v/>
      </c>
    </row>
    <row r="14">
      <c r="A14" s="3" t="inlineStr">
        <is>
          <t>Capitalized interest draw</t>
        </is>
      </c>
      <c r="B14" s="4" t="inlineStr">
        <is>
          <t>$</t>
        </is>
      </c>
      <c r="C14" s="12">
        <f>C13</f>
        <v/>
      </c>
      <c r="D14" s="12">
        <f>D13</f>
        <v/>
      </c>
      <c r="E14" s="12">
        <f>E13</f>
        <v/>
      </c>
      <c r="F14" s="12">
        <f>F13</f>
        <v/>
      </c>
      <c r="G14" s="12">
        <f>G13</f>
        <v/>
      </c>
      <c r="H14" s="12">
        <f>H13</f>
        <v/>
      </c>
      <c r="I14" s="12">
        <f>I13</f>
        <v/>
      </c>
      <c r="J14" s="12">
        <f>J13</f>
        <v/>
      </c>
      <c r="K14" s="12">
        <f>K13</f>
        <v/>
      </c>
      <c r="L14" s="12">
        <f>L13</f>
        <v/>
      </c>
      <c r="M14" s="12">
        <f>M13</f>
        <v/>
      </c>
      <c r="N14" s="12">
        <f>N13</f>
        <v/>
      </c>
      <c r="O14" s="12">
        <f>O13</f>
        <v/>
      </c>
      <c r="P14" s="12">
        <f>P13</f>
        <v/>
      </c>
      <c r="Q14" s="12">
        <f>Q13</f>
        <v/>
      </c>
      <c r="R14" s="12">
        <f>R13</f>
        <v/>
      </c>
      <c r="S14" s="12">
        <f>S13</f>
        <v/>
      </c>
      <c r="T14" s="12">
        <f>T13</f>
        <v/>
      </c>
      <c r="U14" s="12">
        <f>U13</f>
        <v/>
      </c>
      <c r="V14" s="12">
        <f>V13</f>
        <v/>
      </c>
      <c r="W14" s="12">
        <f>W13</f>
        <v/>
      </c>
      <c r="X14" s="12">
        <f>X13</f>
        <v/>
      </c>
      <c r="Y14" s="12">
        <f>Y13</f>
        <v/>
      </c>
      <c r="Z14" s="12">
        <f>Z13</f>
        <v/>
      </c>
      <c r="AA14" s="12">
        <f>AA13</f>
        <v/>
      </c>
      <c r="AB14" s="12">
        <f>AB13</f>
        <v/>
      </c>
      <c r="AC14" s="12">
        <f>AC13</f>
        <v/>
      </c>
      <c r="AD14" s="12">
        <f>AD13</f>
        <v/>
      </c>
      <c r="AE14" s="12">
        <f>AE13</f>
        <v/>
      </c>
      <c r="AF14" s="12">
        <f>AF13</f>
        <v/>
      </c>
      <c r="AG14" s="12">
        <f>AG13</f>
        <v/>
      </c>
      <c r="AH14" s="12">
        <f>AH13</f>
        <v/>
      </c>
      <c r="AI14" s="12">
        <f>AI13</f>
        <v/>
      </c>
      <c r="AJ14" s="12">
        <f>AJ13</f>
        <v/>
      </c>
      <c r="AK14" s="12">
        <f>AK13</f>
        <v/>
      </c>
      <c r="AL14" s="12">
        <f>AL13</f>
        <v/>
      </c>
      <c r="AM14" s="12">
        <f>AM13</f>
        <v/>
      </c>
      <c r="AN14" s="12">
        <f>AN13</f>
        <v/>
      </c>
      <c r="AO14" s="12">
        <f>AO13</f>
        <v/>
      </c>
      <c r="AP14" s="12">
        <f>AP13</f>
        <v/>
      </c>
      <c r="AQ14" s="12">
        <f>AQ13</f>
        <v/>
      </c>
      <c r="AR14" s="12">
        <f>AR13</f>
        <v/>
      </c>
      <c r="AS14" s="12">
        <f>AS13</f>
        <v/>
      </c>
      <c r="AT14" s="12">
        <f>AT13</f>
        <v/>
      </c>
      <c r="AU14" s="12">
        <f>AU13</f>
        <v/>
      </c>
      <c r="AV14" s="12">
        <f>AV13</f>
        <v/>
      </c>
      <c r="AW14" s="12">
        <f>AW13</f>
        <v/>
      </c>
      <c r="AX14" s="12">
        <f>AX13</f>
        <v/>
      </c>
      <c r="AY14" s="12">
        <f>AY13</f>
        <v/>
      </c>
      <c r="AZ14" s="12">
        <f>AZ13</f>
        <v/>
      </c>
      <c r="BA14" s="12">
        <f>BA13</f>
        <v/>
      </c>
      <c r="BB14" s="12">
        <f>BB13</f>
        <v/>
      </c>
      <c r="BC14" s="12">
        <f>BC13</f>
        <v/>
      </c>
      <c r="BD14" s="12">
        <f>BD13</f>
        <v/>
      </c>
      <c r="BE14" s="12">
        <f>BE13</f>
        <v/>
      </c>
      <c r="BF14" s="12">
        <f>BF13</f>
        <v/>
      </c>
      <c r="BG14" s="12">
        <f>BG13</f>
        <v/>
      </c>
      <c r="BH14" s="12">
        <f>BH13</f>
        <v/>
      </c>
      <c r="BI14" s="12">
        <f>BI13</f>
        <v/>
      </c>
      <c r="BJ14" s="12">
        <f>BJ13</f>
        <v/>
      </c>
      <c r="BK14" s="12">
        <f>BK13</f>
        <v/>
      </c>
      <c r="BL14" s="12">
        <f>BL13</f>
        <v/>
      </c>
      <c r="BM14" s="12">
        <f>BM13</f>
        <v/>
      </c>
      <c r="BN14" s="12">
        <f>BN13</f>
        <v/>
      </c>
      <c r="BO14" s="12">
        <f>BO13</f>
        <v/>
      </c>
      <c r="BP14" s="12">
        <f>BP13</f>
        <v/>
      </c>
      <c r="BQ14" s="12">
        <f>BQ13</f>
        <v/>
      </c>
      <c r="BR14" s="12">
        <f>BR13</f>
        <v/>
      </c>
      <c r="BS14" s="12">
        <f>BS13</f>
        <v/>
      </c>
      <c r="BT14" s="12">
        <f>BT13</f>
        <v/>
      </c>
      <c r="BU14" s="12">
        <f>BU13</f>
        <v/>
      </c>
      <c r="BV14" s="12">
        <f>BV13</f>
        <v/>
      </c>
      <c r="BW14" s="12">
        <f>BW13</f>
        <v/>
      </c>
      <c r="BX14" s="12">
        <f>BX13</f>
        <v/>
      </c>
      <c r="BY14" s="12">
        <f>BY13</f>
        <v/>
      </c>
      <c r="BZ14" s="12">
        <f>BZ13</f>
        <v/>
      </c>
      <c r="CA14" s="12">
        <f>CA13</f>
        <v/>
      </c>
      <c r="CB14" s="12">
        <f>CB13</f>
        <v/>
      </c>
      <c r="CC14" s="12">
        <f>CC13</f>
        <v/>
      </c>
      <c r="CD14" s="12">
        <f>CD13</f>
        <v/>
      </c>
      <c r="CE14" s="12">
        <f>CE13</f>
        <v/>
      </c>
      <c r="CF14" s="12">
        <f>CF13</f>
        <v/>
      </c>
      <c r="CG14" s="12">
        <f>CG13</f>
        <v/>
      </c>
      <c r="CH14" s="12">
        <f>CH13</f>
        <v/>
      </c>
    </row>
    <row r="15">
      <c r="A15" s="3" t="inlineStr">
        <is>
          <t>Total draws</t>
        </is>
      </c>
      <c r="B15" s="4" t="inlineStr">
        <is>
          <t>$</t>
        </is>
      </c>
      <c r="C15" s="12">
        <f>C11+C14</f>
        <v/>
      </c>
      <c r="D15" s="12">
        <f>D11+D14</f>
        <v/>
      </c>
      <c r="E15" s="12">
        <f>E11+E14</f>
        <v/>
      </c>
      <c r="F15" s="12">
        <f>F11+F14</f>
        <v/>
      </c>
      <c r="G15" s="12">
        <f>G11+G14</f>
        <v/>
      </c>
      <c r="H15" s="12">
        <f>H11+H14</f>
        <v/>
      </c>
      <c r="I15" s="12">
        <f>I11+I14</f>
        <v/>
      </c>
      <c r="J15" s="12">
        <f>J11+J14</f>
        <v/>
      </c>
      <c r="K15" s="12">
        <f>K11+K14</f>
        <v/>
      </c>
      <c r="L15" s="12">
        <f>L11+L14</f>
        <v/>
      </c>
      <c r="M15" s="12">
        <f>M11+M14</f>
        <v/>
      </c>
      <c r="N15" s="12">
        <f>N11+N14</f>
        <v/>
      </c>
      <c r="O15" s="12">
        <f>O11+O14</f>
        <v/>
      </c>
      <c r="P15" s="12">
        <f>P11+P14</f>
        <v/>
      </c>
      <c r="Q15" s="12">
        <f>Q11+Q14</f>
        <v/>
      </c>
      <c r="R15" s="12">
        <f>R11+R14</f>
        <v/>
      </c>
      <c r="S15" s="12">
        <f>S11+S14</f>
        <v/>
      </c>
      <c r="T15" s="12">
        <f>T11+T14</f>
        <v/>
      </c>
      <c r="U15" s="12">
        <f>U11+U14</f>
        <v/>
      </c>
      <c r="V15" s="12">
        <f>V11+V14</f>
        <v/>
      </c>
      <c r="W15" s="12">
        <f>W11+W14</f>
        <v/>
      </c>
      <c r="X15" s="12">
        <f>X11+X14</f>
        <v/>
      </c>
      <c r="Y15" s="12">
        <f>Y11+Y14</f>
        <v/>
      </c>
      <c r="Z15" s="12">
        <f>Z11+Z14</f>
        <v/>
      </c>
      <c r="AA15" s="12">
        <f>AA11+AA14</f>
        <v/>
      </c>
      <c r="AB15" s="12">
        <f>AB11+AB14</f>
        <v/>
      </c>
      <c r="AC15" s="12">
        <f>AC11+AC14</f>
        <v/>
      </c>
      <c r="AD15" s="12">
        <f>AD11+AD14</f>
        <v/>
      </c>
      <c r="AE15" s="12">
        <f>AE11+AE14</f>
        <v/>
      </c>
      <c r="AF15" s="12">
        <f>AF11+AF14</f>
        <v/>
      </c>
      <c r="AG15" s="12">
        <f>AG11+AG14</f>
        <v/>
      </c>
      <c r="AH15" s="12">
        <f>AH11+AH14</f>
        <v/>
      </c>
      <c r="AI15" s="12">
        <f>AI11+AI14</f>
        <v/>
      </c>
      <c r="AJ15" s="12">
        <f>AJ11+AJ14</f>
        <v/>
      </c>
      <c r="AK15" s="12">
        <f>AK11+AK14</f>
        <v/>
      </c>
      <c r="AL15" s="12">
        <f>AL11+AL14</f>
        <v/>
      </c>
      <c r="AM15" s="12">
        <f>AM11+AM14</f>
        <v/>
      </c>
      <c r="AN15" s="12">
        <f>AN11+AN14</f>
        <v/>
      </c>
      <c r="AO15" s="12">
        <f>AO11+AO14</f>
        <v/>
      </c>
      <c r="AP15" s="12">
        <f>AP11+AP14</f>
        <v/>
      </c>
      <c r="AQ15" s="12">
        <f>AQ11+AQ14</f>
        <v/>
      </c>
      <c r="AR15" s="12">
        <f>AR11+AR14</f>
        <v/>
      </c>
      <c r="AS15" s="12">
        <f>AS11+AS14</f>
        <v/>
      </c>
      <c r="AT15" s="12">
        <f>AT11+AT14</f>
        <v/>
      </c>
      <c r="AU15" s="12">
        <f>AU11+AU14</f>
        <v/>
      </c>
      <c r="AV15" s="12">
        <f>AV11+AV14</f>
        <v/>
      </c>
      <c r="AW15" s="12">
        <f>AW11+AW14</f>
        <v/>
      </c>
      <c r="AX15" s="12">
        <f>AX11+AX14</f>
        <v/>
      </c>
      <c r="AY15" s="12">
        <f>AY11+AY14</f>
        <v/>
      </c>
      <c r="AZ15" s="12">
        <f>AZ11+AZ14</f>
        <v/>
      </c>
      <c r="BA15" s="12">
        <f>BA11+BA14</f>
        <v/>
      </c>
      <c r="BB15" s="12">
        <f>BB11+BB14</f>
        <v/>
      </c>
      <c r="BC15" s="12">
        <f>BC11+BC14</f>
        <v/>
      </c>
      <c r="BD15" s="12">
        <f>BD11+BD14</f>
        <v/>
      </c>
      <c r="BE15" s="12">
        <f>BE11+BE14</f>
        <v/>
      </c>
      <c r="BF15" s="12">
        <f>BF11+BF14</f>
        <v/>
      </c>
      <c r="BG15" s="12">
        <f>BG11+BG14</f>
        <v/>
      </c>
      <c r="BH15" s="12">
        <f>BH11+BH14</f>
        <v/>
      </c>
      <c r="BI15" s="12">
        <f>BI11+BI14</f>
        <v/>
      </c>
      <c r="BJ15" s="12">
        <f>BJ11+BJ14</f>
        <v/>
      </c>
      <c r="BK15" s="12">
        <f>BK11+BK14</f>
        <v/>
      </c>
      <c r="BL15" s="12">
        <f>BL11+BL14</f>
        <v/>
      </c>
      <c r="BM15" s="12">
        <f>BM11+BM14</f>
        <v/>
      </c>
      <c r="BN15" s="12">
        <f>BN11+BN14</f>
        <v/>
      </c>
      <c r="BO15" s="12">
        <f>BO11+BO14</f>
        <v/>
      </c>
      <c r="BP15" s="12">
        <f>BP11+BP14</f>
        <v/>
      </c>
      <c r="BQ15" s="12">
        <f>BQ11+BQ14</f>
        <v/>
      </c>
      <c r="BR15" s="12">
        <f>BR11+BR14</f>
        <v/>
      </c>
      <c r="BS15" s="12">
        <f>BS11+BS14</f>
        <v/>
      </c>
      <c r="BT15" s="12">
        <f>BT11+BT14</f>
        <v/>
      </c>
      <c r="BU15" s="12">
        <f>BU11+BU14</f>
        <v/>
      </c>
      <c r="BV15" s="12">
        <f>BV11+BV14</f>
        <v/>
      </c>
      <c r="BW15" s="12">
        <f>BW11+BW14</f>
        <v/>
      </c>
      <c r="BX15" s="12">
        <f>BX11+BX14</f>
        <v/>
      </c>
      <c r="BY15" s="12">
        <f>BY11+BY14</f>
        <v/>
      </c>
      <c r="BZ15" s="12">
        <f>BZ11+BZ14</f>
        <v/>
      </c>
      <c r="CA15" s="12">
        <f>CA11+CA14</f>
        <v/>
      </c>
      <c r="CB15" s="12">
        <f>CB11+CB14</f>
        <v/>
      </c>
      <c r="CC15" s="12">
        <f>CC11+CC14</f>
        <v/>
      </c>
      <c r="CD15" s="12">
        <f>CD11+CD14</f>
        <v/>
      </c>
      <c r="CE15" s="12">
        <f>CE11+CE14</f>
        <v/>
      </c>
      <c r="CF15" s="12">
        <f>CF11+CF14</f>
        <v/>
      </c>
      <c r="CG15" s="12">
        <f>CG11+CG14</f>
        <v/>
      </c>
      <c r="CH15" s="12">
        <f>CH11+CH14</f>
        <v/>
      </c>
    </row>
    <row r="16">
      <c r="A16" s="3" t="inlineStr">
        <is>
          <t>Balance after draws</t>
        </is>
      </c>
      <c r="B16" s="4" t="inlineStr">
        <is>
          <t>$</t>
        </is>
      </c>
      <c r="C16" s="12">
        <f>C12+C15</f>
        <v/>
      </c>
      <c r="D16" s="12">
        <f>D12+D15</f>
        <v/>
      </c>
      <c r="E16" s="12">
        <f>E12+E15</f>
        <v/>
      </c>
      <c r="F16" s="12">
        <f>F12+F15</f>
        <v/>
      </c>
      <c r="G16" s="12">
        <f>G12+G15</f>
        <v/>
      </c>
      <c r="H16" s="12">
        <f>H12+H15</f>
        <v/>
      </c>
      <c r="I16" s="12">
        <f>I12+I15</f>
        <v/>
      </c>
      <c r="J16" s="12">
        <f>J12+J15</f>
        <v/>
      </c>
      <c r="K16" s="12">
        <f>K12+K15</f>
        <v/>
      </c>
      <c r="L16" s="12">
        <f>L12+L15</f>
        <v/>
      </c>
      <c r="M16" s="12">
        <f>M12+M15</f>
        <v/>
      </c>
      <c r="N16" s="12">
        <f>N12+N15</f>
        <v/>
      </c>
      <c r="O16" s="12">
        <f>O12+O15</f>
        <v/>
      </c>
      <c r="P16" s="12">
        <f>P12+P15</f>
        <v/>
      </c>
      <c r="Q16" s="12">
        <f>Q12+Q15</f>
        <v/>
      </c>
      <c r="R16" s="12">
        <f>R12+R15</f>
        <v/>
      </c>
      <c r="S16" s="12">
        <f>S12+S15</f>
        <v/>
      </c>
      <c r="T16" s="12">
        <f>T12+T15</f>
        <v/>
      </c>
      <c r="U16" s="12">
        <f>U12+U15</f>
        <v/>
      </c>
      <c r="V16" s="12">
        <f>V12+V15</f>
        <v/>
      </c>
      <c r="W16" s="12">
        <f>W12+W15</f>
        <v/>
      </c>
      <c r="X16" s="12">
        <f>X12+X15</f>
        <v/>
      </c>
      <c r="Y16" s="12">
        <f>Y12+Y15</f>
        <v/>
      </c>
      <c r="Z16" s="12">
        <f>Z12+Z15</f>
        <v/>
      </c>
      <c r="AA16" s="12">
        <f>AA12+AA15</f>
        <v/>
      </c>
      <c r="AB16" s="12">
        <f>AB12+AB15</f>
        <v/>
      </c>
      <c r="AC16" s="12">
        <f>AC12+AC15</f>
        <v/>
      </c>
      <c r="AD16" s="12">
        <f>AD12+AD15</f>
        <v/>
      </c>
      <c r="AE16" s="12">
        <f>AE12+AE15</f>
        <v/>
      </c>
      <c r="AF16" s="12">
        <f>AF12+AF15</f>
        <v/>
      </c>
      <c r="AG16" s="12">
        <f>AG12+AG15</f>
        <v/>
      </c>
      <c r="AH16" s="12">
        <f>AH12+AH15</f>
        <v/>
      </c>
      <c r="AI16" s="12">
        <f>AI12+AI15</f>
        <v/>
      </c>
      <c r="AJ16" s="12">
        <f>AJ12+AJ15</f>
        <v/>
      </c>
      <c r="AK16" s="12">
        <f>AK12+AK15</f>
        <v/>
      </c>
      <c r="AL16" s="12">
        <f>AL12+AL15</f>
        <v/>
      </c>
      <c r="AM16" s="12">
        <f>AM12+AM15</f>
        <v/>
      </c>
      <c r="AN16" s="12">
        <f>AN12+AN15</f>
        <v/>
      </c>
      <c r="AO16" s="12">
        <f>AO12+AO15</f>
        <v/>
      </c>
      <c r="AP16" s="12">
        <f>AP12+AP15</f>
        <v/>
      </c>
      <c r="AQ16" s="12">
        <f>AQ12+AQ15</f>
        <v/>
      </c>
      <c r="AR16" s="12">
        <f>AR12+AR15</f>
        <v/>
      </c>
      <c r="AS16" s="12">
        <f>AS12+AS15</f>
        <v/>
      </c>
      <c r="AT16" s="12">
        <f>AT12+AT15</f>
        <v/>
      </c>
      <c r="AU16" s="12">
        <f>AU12+AU15</f>
        <v/>
      </c>
      <c r="AV16" s="12">
        <f>AV12+AV15</f>
        <v/>
      </c>
      <c r="AW16" s="12">
        <f>AW12+AW15</f>
        <v/>
      </c>
      <c r="AX16" s="12">
        <f>AX12+AX15</f>
        <v/>
      </c>
      <c r="AY16" s="12">
        <f>AY12+AY15</f>
        <v/>
      </c>
      <c r="AZ16" s="12">
        <f>AZ12+AZ15</f>
        <v/>
      </c>
      <c r="BA16" s="12">
        <f>BA12+BA15</f>
        <v/>
      </c>
      <c r="BB16" s="12">
        <f>BB12+BB15</f>
        <v/>
      </c>
      <c r="BC16" s="12">
        <f>BC12+BC15</f>
        <v/>
      </c>
      <c r="BD16" s="12">
        <f>BD12+BD15</f>
        <v/>
      </c>
      <c r="BE16" s="12">
        <f>BE12+BE15</f>
        <v/>
      </c>
      <c r="BF16" s="12">
        <f>BF12+BF15</f>
        <v/>
      </c>
      <c r="BG16" s="12">
        <f>BG12+BG15</f>
        <v/>
      </c>
      <c r="BH16" s="12">
        <f>BH12+BH15</f>
        <v/>
      </c>
      <c r="BI16" s="12">
        <f>BI12+BI15</f>
        <v/>
      </c>
      <c r="BJ16" s="12">
        <f>BJ12+BJ15</f>
        <v/>
      </c>
      <c r="BK16" s="12">
        <f>BK12+BK15</f>
        <v/>
      </c>
      <c r="BL16" s="12">
        <f>BL12+BL15</f>
        <v/>
      </c>
      <c r="BM16" s="12">
        <f>BM12+BM15</f>
        <v/>
      </c>
      <c r="BN16" s="12">
        <f>BN12+BN15</f>
        <v/>
      </c>
      <c r="BO16" s="12">
        <f>BO12+BO15</f>
        <v/>
      </c>
      <c r="BP16" s="12">
        <f>BP12+BP15</f>
        <v/>
      </c>
      <c r="BQ16" s="12">
        <f>BQ12+BQ15</f>
        <v/>
      </c>
      <c r="BR16" s="12">
        <f>BR12+BR15</f>
        <v/>
      </c>
      <c r="BS16" s="12">
        <f>BS12+BS15</f>
        <v/>
      </c>
      <c r="BT16" s="12">
        <f>BT12+BT15</f>
        <v/>
      </c>
      <c r="BU16" s="12">
        <f>BU12+BU15</f>
        <v/>
      </c>
      <c r="BV16" s="12">
        <f>BV12+BV15</f>
        <v/>
      </c>
      <c r="BW16" s="12">
        <f>BW12+BW15</f>
        <v/>
      </c>
      <c r="BX16" s="12">
        <f>BX12+BX15</f>
        <v/>
      </c>
      <c r="BY16" s="12">
        <f>BY12+BY15</f>
        <v/>
      </c>
      <c r="BZ16" s="12">
        <f>BZ12+BZ15</f>
        <v/>
      </c>
      <c r="CA16" s="12">
        <f>CA12+CA15</f>
        <v/>
      </c>
      <c r="CB16" s="12">
        <f>CB12+CB15</f>
        <v/>
      </c>
      <c r="CC16" s="12">
        <f>CC12+CC15</f>
        <v/>
      </c>
      <c r="CD16" s="12">
        <f>CD12+CD15</f>
        <v/>
      </c>
      <c r="CE16" s="12">
        <f>CE12+CE15</f>
        <v/>
      </c>
      <c r="CF16" s="12">
        <f>CF12+CF15</f>
        <v/>
      </c>
      <c r="CG16" s="12">
        <f>CG12+CG15</f>
        <v/>
      </c>
      <c r="CH16" s="12">
        <f>CH12+CH15</f>
        <v/>
      </c>
    </row>
    <row r="17">
      <c r="A17" s="3" t="inlineStr">
        <is>
          <t>Condo net revenue</t>
        </is>
      </c>
      <c r="B17" s="4" t="inlineStr">
        <is>
          <t>$</t>
        </is>
      </c>
      <c r="C17" s="12">
        <f>CondoSellout!C16</f>
        <v/>
      </c>
      <c r="D17" s="12">
        <f>CondoSellout!D16</f>
        <v/>
      </c>
      <c r="E17" s="12">
        <f>CondoSellout!E16</f>
        <v/>
      </c>
      <c r="F17" s="12">
        <f>CondoSellout!F16</f>
        <v/>
      </c>
      <c r="G17" s="12">
        <f>CondoSellout!G16</f>
        <v/>
      </c>
      <c r="H17" s="12">
        <f>CondoSellout!H16</f>
        <v/>
      </c>
      <c r="I17" s="12">
        <f>CondoSellout!I16</f>
        <v/>
      </c>
      <c r="J17" s="12">
        <f>CondoSellout!J16</f>
        <v/>
      </c>
      <c r="K17" s="12">
        <f>CondoSellout!K16</f>
        <v/>
      </c>
      <c r="L17" s="12">
        <f>CondoSellout!L16</f>
        <v/>
      </c>
      <c r="M17" s="12">
        <f>CondoSellout!M16</f>
        <v/>
      </c>
      <c r="N17" s="12">
        <f>CondoSellout!N16</f>
        <v/>
      </c>
      <c r="O17" s="12">
        <f>CondoSellout!O16</f>
        <v/>
      </c>
      <c r="P17" s="12">
        <f>CondoSellout!P16</f>
        <v/>
      </c>
      <c r="Q17" s="12">
        <f>CondoSellout!Q16</f>
        <v/>
      </c>
      <c r="R17" s="12">
        <f>CondoSellout!R16</f>
        <v/>
      </c>
      <c r="S17" s="12">
        <f>CondoSellout!S16</f>
        <v/>
      </c>
      <c r="T17" s="12">
        <f>CondoSellout!T16</f>
        <v/>
      </c>
      <c r="U17" s="12">
        <f>CondoSellout!U16</f>
        <v/>
      </c>
      <c r="V17" s="12">
        <f>CondoSellout!V16</f>
        <v/>
      </c>
      <c r="W17" s="12">
        <f>CondoSellout!W16</f>
        <v/>
      </c>
      <c r="X17" s="12">
        <f>CondoSellout!X16</f>
        <v/>
      </c>
      <c r="Y17" s="12">
        <f>CondoSellout!Y16</f>
        <v/>
      </c>
      <c r="Z17" s="12">
        <f>CondoSellout!Z16</f>
        <v/>
      </c>
      <c r="AA17" s="12">
        <f>CondoSellout!AA16</f>
        <v/>
      </c>
      <c r="AB17" s="12">
        <f>CondoSellout!AB16</f>
        <v/>
      </c>
      <c r="AC17" s="12">
        <f>CondoSellout!AC16</f>
        <v/>
      </c>
      <c r="AD17" s="12">
        <f>CondoSellout!AD16</f>
        <v/>
      </c>
      <c r="AE17" s="12">
        <f>CondoSellout!AE16</f>
        <v/>
      </c>
      <c r="AF17" s="12">
        <f>CondoSellout!AF16</f>
        <v/>
      </c>
      <c r="AG17" s="12">
        <f>CondoSellout!AG16</f>
        <v/>
      </c>
      <c r="AH17" s="12">
        <f>CondoSellout!AH16</f>
        <v/>
      </c>
      <c r="AI17" s="12">
        <f>CondoSellout!AI16</f>
        <v/>
      </c>
      <c r="AJ17" s="12">
        <f>CondoSellout!AJ16</f>
        <v/>
      </c>
      <c r="AK17" s="12">
        <f>CondoSellout!AK16</f>
        <v/>
      </c>
      <c r="AL17" s="12">
        <f>CondoSellout!AL16</f>
        <v/>
      </c>
      <c r="AM17" s="12">
        <f>CondoSellout!AM16</f>
        <v/>
      </c>
      <c r="AN17" s="12">
        <f>CondoSellout!AN16</f>
        <v/>
      </c>
      <c r="AO17" s="12">
        <f>CondoSellout!AO16</f>
        <v/>
      </c>
      <c r="AP17" s="12">
        <f>CondoSellout!AP16</f>
        <v/>
      </c>
      <c r="AQ17" s="12">
        <f>CondoSellout!AQ16</f>
        <v/>
      </c>
      <c r="AR17" s="12">
        <f>CondoSellout!AR16</f>
        <v/>
      </c>
      <c r="AS17" s="12">
        <f>CondoSellout!AS16</f>
        <v/>
      </c>
      <c r="AT17" s="12">
        <f>CondoSellout!AT16</f>
        <v/>
      </c>
      <c r="AU17" s="12">
        <f>CondoSellout!AU16</f>
        <v/>
      </c>
      <c r="AV17" s="12">
        <f>CondoSellout!AV16</f>
        <v/>
      </c>
      <c r="AW17" s="12">
        <f>CondoSellout!AW16</f>
        <v/>
      </c>
      <c r="AX17" s="12">
        <f>CondoSellout!AX16</f>
        <v/>
      </c>
      <c r="AY17" s="12">
        <f>CondoSellout!AY16</f>
        <v/>
      </c>
      <c r="AZ17" s="12">
        <f>CondoSellout!AZ16</f>
        <v/>
      </c>
      <c r="BA17" s="12">
        <f>CondoSellout!BA16</f>
        <v/>
      </c>
      <c r="BB17" s="12">
        <f>CondoSellout!BB16</f>
        <v/>
      </c>
      <c r="BC17" s="12">
        <f>CondoSellout!BC16</f>
        <v/>
      </c>
      <c r="BD17" s="12">
        <f>CondoSellout!BD16</f>
        <v/>
      </c>
      <c r="BE17" s="12">
        <f>CondoSellout!BE16</f>
        <v/>
      </c>
      <c r="BF17" s="12">
        <f>CondoSellout!BF16</f>
        <v/>
      </c>
      <c r="BG17" s="12">
        <f>CondoSellout!BG16</f>
        <v/>
      </c>
      <c r="BH17" s="12">
        <f>CondoSellout!BH16</f>
        <v/>
      </c>
      <c r="BI17" s="12">
        <f>CondoSellout!BI16</f>
        <v/>
      </c>
      <c r="BJ17" s="12">
        <f>CondoSellout!BJ16</f>
        <v/>
      </c>
      <c r="BK17" s="12">
        <f>CondoSellout!BK16</f>
        <v/>
      </c>
      <c r="BL17" s="12">
        <f>CondoSellout!BL16</f>
        <v/>
      </c>
      <c r="BM17" s="12">
        <f>CondoSellout!BM16</f>
        <v/>
      </c>
      <c r="BN17" s="12">
        <f>CondoSellout!BN16</f>
        <v/>
      </c>
      <c r="BO17" s="12">
        <f>CondoSellout!BO16</f>
        <v/>
      </c>
      <c r="BP17" s="12">
        <f>CondoSellout!BP16</f>
        <v/>
      </c>
      <c r="BQ17" s="12">
        <f>CondoSellout!BQ16</f>
        <v/>
      </c>
      <c r="BR17" s="12">
        <f>CondoSellout!BR16</f>
        <v/>
      </c>
      <c r="BS17" s="12">
        <f>CondoSellout!BS16</f>
        <v/>
      </c>
      <c r="BT17" s="12">
        <f>CondoSellout!BT16</f>
        <v/>
      </c>
      <c r="BU17" s="12">
        <f>CondoSellout!BU16</f>
        <v/>
      </c>
      <c r="BV17" s="12">
        <f>CondoSellout!BV16</f>
        <v/>
      </c>
      <c r="BW17" s="12">
        <f>CondoSellout!BW16</f>
        <v/>
      </c>
      <c r="BX17" s="12">
        <f>CondoSellout!BX16</f>
        <v/>
      </c>
      <c r="BY17" s="12">
        <f>CondoSellout!BY16</f>
        <v/>
      </c>
      <c r="BZ17" s="12">
        <f>CondoSellout!BZ16</f>
        <v/>
      </c>
      <c r="CA17" s="12">
        <f>CondoSellout!CA16</f>
        <v/>
      </c>
      <c r="CB17" s="12">
        <f>CondoSellout!CB16</f>
        <v/>
      </c>
      <c r="CC17" s="12">
        <f>CondoSellout!CC16</f>
        <v/>
      </c>
      <c r="CD17" s="12">
        <f>CondoSellout!CD16</f>
        <v/>
      </c>
      <c r="CE17" s="12">
        <f>CondoSellout!CE16</f>
        <v/>
      </c>
      <c r="CF17" s="12">
        <f>CondoSellout!CF16</f>
        <v/>
      </c>
      <c r="CG17" s="12">
        <f>CondoSellout!CG16</f>
        <v/>
      </c>
      <c r="CH17" s="12">
        <f>CondoSellout!CH16</f>
        <v/>
      </c>
    </row>
    <row r="18">
      <c r="A18" s="3" t="inlineStr">
        <is>
          <t>Condo repayment</t>
        </is>
      </c>
      <c r="B18" s="4" t="inlineStr">
        <is>
          <t>$</t>
        </is>
      </c>
      <c r="C18" s="12">
        <f>MIN(C16,MAX(C17,0))</f>
        <v/>
      </c>
      <c r="D18" s="12">
        <f>MIN(D16,MAX(D17,0))</f>
        <v/>
      </c>
      <c r="E18" s="12">
        <f>MIN(E16,MAX(E17,0))</f>
        <v/>
      </c>
      <c r="F18" s="12">
        <f>MIN(F16,MAX(F17,0))</f>
        <v/>
      </c>
      <c r="G18" s="12">
        <f>MIN(G16,MAX(G17,0))</f>
        <v/>
      </c>
      <c r="H18" s="12">
        <f>MIN(H16,MAX(H17,0))</f>
        <v/>
      </c>
      <c r="I18" s="12">
        <f>MIN(I16,MAX(I17,0))</f>
        <v/>
      </c>
      <c r="J18" s="12">
        <f>MIN(J16,MAX(J17,0))</f>
        <v/>
      </c>
      <c r="K18" s="12">
        <f>MIN(K16,MAX(K17,0))</f>
        <v/>
      </c>
      <c r="L18" s="12">
        <f>MIN(L16,MAX(L17,0))</f>
        <v/>
      </c>
      <c r="M18" s="12">
        <f>MIN(M16,MAX(M17,0))</f>
        <v/>
      </c>
      <c r="N18" s="12">
        <f>MIN(N16,MAX(N17,0))</f>
        <v/>
      </c>
      <c r="O18" s="12">
        <f>MIN(O16,MAX(O17,0))</f>
        <v/>
      </c>
      <c r="P18" s="12">
        <f>MIN(P16,MAX(P17,0))</f>
        <v/>
      </c>
      <c r="Q18" s="12">
        <f>MIN(Q16,MAX(Q17,0))</f>
        <v/>
      </c>
      <c r="R18" s="12">
        <f>MIN(R16,MAX(R17,0))</f>
        <v/>
      </c>
      <c r="S18" s="12">
        <f>MIN(S16,MAX(S17,0))</f>
        <v/>
      </c>
      <c r="T18" s="12">
        <f>MIN(T16,MAX(T17,0))</f>
        <v/>
      </c>
      <c r="U18" s="12">
        <f>MIN(U16,MAX(U17,0))</f>
        <v/>
      </c>
      <c r="V18" s="12">
        <f>MIN(V16,MAX(V17,0))</f>
        <v/>
      </c>
      <c r="W18" s="12">
        <f>MIN(W16,MAX(W17,0))</f>
        <v/>
      </c>
      <c r="X18" s="12">
        <f>MIN(X16,MAX(X17,0))</f>
        <v/>
      </c>
      <c r="Y18" s="12">
        <f>MIN(Y16,MAX(Y17,0))</f>
        <v/>
      </c>
      <c r="Z18" s="12">
        <f>MIN(Z16,MAX(Z17,0))</f>
        <v/>
      </c>
      <c r="AA18" s="12">
        <f>MIN(AA16,MAX(AA17,0))</f>
        <v/>
      </c>
      <c r="AB18" s="12">
        <f>MIN(AB16,MAX(AB17,0))</f>
        <v/>
      </c>
      <c r="AC18" s="12">
        <f>MIN(AC16,MAX(AC17,0))</f>
        <v/>
      </c>
      <c r="AD18" s="12">
        <f>MIN(AD16,MAX(AD17,0))</f>
        <v/>
      </c>
      <c r="AE18" s="12">
        <f>MIN(AE16,MAX(AE17,0))</f>
        <v/>
      </c>
      <c r="AF18" s="12">
        <f>MIN(AF16,MAX(AF17,0))</f>
        <v/>
      </c>
      <c r="AG18" s="12">
        <f>MIN(AG16,MAX(AG17,0))</f>
        <v/>
      </c>
      <c r="AH18" s="12">
        <f>MIN(AH16,MAX(AH17,0))</f>
        <v/>
      </c>
      <c r="AI18" s="12">
        <f>MIN(AI16,MAX(AI17,0))</f>
        <v/>
      </c>
      <c r="AJ18" s="12">
        <f>MIN(AJ16,MAX(AJ17,0))</f>
        <v/>
      </c>
      <c r="AK18" s="12">
        <f>MIN(AK16,MAX(AK17,0))</f>
        <v/>
      </c>
      <c r="AL18" s="12">
        <f>MIN(AL16,MAX(AL17,0))</f>
        <v/>
      </c>
      <c r="AM18" s="12">
        <f>MIN(AM16,MAX(AM17,0))</f>
        <v/>
      </c>
      <c r="AN18" s="12">
        <f>MIN(AN16,MAX(AN17,0))</f>
        <v/>
      </c>
      <c r="AO18" s="12">
        <f>MIN(AO16,MAX(AO17,0))</f>
        <v/>
      </c>
      <c r="AP18" s="12">
        <f>MIN(AP16,MAX(AP17,0))</f>
        <v/>
      </c>
      <c r="AQ18" s="12">
        <f>MIN(AQ16,MAX(AQ17,0))</f>
        <v/>
      </c>
      <c r="AR18" s="12">
        <f>MIN(AR16,MAX(AR17,0))</f>
        <v/>
      </c>
      <c r="AS18" s="12">
        <f>MIN(AS16,MAX(AS17,0))</f>
        <v/>
      </c>
      <c r="AT18" s="12">
        <f>MIN(AT16,MAX(AT17,0))</f>
        <v/>
      </c>
      <c r="AU18" s="12">
        <f>MIN(AU16,MAX(AU17,0))</f>
        <v/>
      </c>
      <c r="AV18" s="12">
        <f>MIN(AV16,MAX(AV17,0))</f>
        <v/>
      </c>
      <c r="AW18" s="12">
        <f>MIN(AW16,MAX(AW17,0))</f>
        <v/>
      </c>
      <c r="AX18" s="12">
        <f>MIN(AX16,MAX(AX17,0))</f>
        <v/>
      </c>
      <c r="AY18" s="12">
        <f>MIN(AY16,MAX(AY17,0))</f>
        <v/>
      </c>
      <c r="AZ18" s="12">
        <f>MIN(AZ16,MAX(AZ17,0))</f>
        <v/>
      </c>
      <c r="BA18" s="12">
        <f>MIN(BA16,MAX(BA17,0))</f>
        <v/>
      </c>
      <c r="BB18" s="12">
        <f>MIN(BB16,MAX(BB17,0))</f>
        <v/>
      </c>
      <c r="BC18" s="12">
        <f>MIN(BC16,MAX(BC17,0))</f>
        <v/>
      </c>
      <c r="BD18" s="12">
        <f>MIN(BD16,MAX(BD17,0))</f>
        <v/>
      </c>
      <c r="BE18" s="12">
        <f>MIN(BE16,MAX(BE17,0))</f>
        <v/>
      </c>
      <c r="BF18" s="12">
        <f>MIN(BF16,MAX(BF17,0))</f>
        <v/>
      </c>
      <c r="BG18" s="12">
        <f>MIN(BG16,MAX(BG17,0))</f>
        <v/>
      </c>
      <c r="BH18" s="12">
        <f>MIN(BH16,MAX(BH17,0))</f>
        <v/>
      </c>
      <c r="BI18" s="12">
        <f>MIN(BI16,MAX(BI17,0))</f>
        <v/>
      </c>
      <c r="BJ18" s="12">
        <f>MIN(BJ16,MAX(BJ17,0))</f>
        <v/>
      </c>
      <c r="BK18" s="12">
        <f>MIN(BK16,MAX(BK17,0))</f>
        <v/>
      </c>
      <c r="BL18" s="12">
        <f>MIN(BL16,MAX(BL17,0))</f>
        <v/>
      </c>
      <c r="BM18" s="12">
        <f>MIN(BM16,MAX(BM17,0))</f>
        <v/>
      </c>
      <c r="BN18" s="12">
        <f>MIN(BN16,MAX(BN17,0))</f>
        <v/>
      </c>
      <c r="BO18" s="12">
        <f>MIN(BO16,MAX(BO17,0))</f>
        <v/>
      </c>
      <c r="BP18" s="12">
        <f>MIN(BP16,MAX(BP17,0))</f>
        <v/>
      </c>
      <c r="BQ18" s="12">
        <f>MIN(BQ16,MAX(BQ17,0))</f>
        <v/>
      </c>
      <c r="BR18" s="12">
        <f>MIN(BR16,MAX(BR17,0))</f>
        <v/>
      </c>
      <c r="BS18" s="12">
        <f>MIN(BS16,MAX(BS17,0))</f>
        <v/>
      </c>
      <c r="BT18" s="12">
        <f>MIN(BT16,MAX(BT17,0))</f>
        <v/>
      </c>
      <c r="BU18" s="12">
        <f>MIN(BU16,MAX(BU17,0))</f>
        <v/>
      </c>
      <c r="BV18" s="12">
        <f>MIN(BV16,MAX(BV17,0))</f>
        <v/>
      </c>
      <c r="BW18" s="12">
        <f>MIN(BW16,MAX(BW17,0))</f>
        <v/>
      </c>
      <c r="BX18" s="12">
        <f>MIN(BX16,MAX(BX17,0))</f>
        <v/>
      </c>
      <c r="BY18" s="12">
        <f>MIN(BY16,MAX(BY17,0))</f>
        <v/>
      </c>
      <c r="BZ18" s="12">
        <f>MIN(BZ16,MAX(BZ17,0))</f>
        <v/>
      </c>
      <c r="CA18" s="12">
        <f>MIN(CA16,MAX(CA17,0))</f>
        <v/>
      </c>
      <c r="CB18" s="12">
        <f>MIN(CB16,MAX(CB17,0))</f>
        <v/>
      </c>
      <c r="CC18" s="12">
        <f>MIN(CC16,MAX(CC17,0))</f>
        <v/>
      </c>
      <c r="CD18" s="12">
        <f>MIN(CD16,MAX(CD17,0))</f>
        <v/>
      </c>
      <c r="CE18" s="12">
        <f>MIN(CE16,MAX(CE17,0))</f>
        <v/>
      </c>
      <c r="CF18" s="12">
        <f>MIN(CF16,MAX(CF17,0))</f>
        <v/>
      </c>
      <c r="CG18" s="12">
        <f>MIN(CG16,MAX(CG17,0))</f>
        <v/>
      </c>
      <c r="CH18" s="12">
        <f>MIN(CH16,MAX(CH17,0))</f>
        <v/>
      </c>
    </row>
    <row r="19">
      <c r="A19" s="3" t="inlineStr">
        <is>
          <t>Permanent-loan payoff of construction balance</t>
        </is>
      </c>
      <c r="B19" s="4" t="inlineStr">
        <is>
          <t>$</t>
        </is>
      </c>
      <c r="C19" s="12">
        <f>IF(C2=PERM_CONV_M,MAX(0,C16-C18),0)</f>
        <v/>
      </c>
      <c r="D19" s="12">
        <f>IF(D2=PERM_CONV_M,MAX(0,D16-D18),0)</f>
        <v/>
      </c>
      <c r="E19" s="12">
        <f>IF(E2=PERM_CONV_M,MAX(0,E16-E18),0)</f>
        <v/>
      </c>
      <c r="F19" s="12">
        <f>IF(F2=PERM_CONV_M,MAX(0,F16-F18),0)</f>
        <v/>
      </c>
      <c r="G19" s="12">
        <f>IF(G2=PERM_CONV_M,MAX(0,G16-G18),0)</f>
        <v/>
      </c>
      <c r="H19" s="12">
        <f>IF(H2=PERM_CONV_M,MAX(0,H16-H18),0)</f>
        <v/>
      </c>
      <c r="I19" s="12">
        <f>IF(I2=PERM_CONV_M,MAX(0,I16-I18),0)</f>
        <v/>
      </c>
      <c r="J19" s="12">
        <f>IF(J2=PERM_CONV_M,MAX(0,J16-J18),0)</f>
        <v/>
      </c>
      <c r="K19" s="12">
        <f>IF(K2=PERM_CONV_M,MAX(0,K16-K18),0)</f>
        <v/>
      </c>
      <c r="L19" s="12">
        <f>IF(L2=PERM_CONV_M,MAX(0,L16-L18),0)</f>
        <v/>
      </c>
      <c r="M19" s="12">
        <f>IF(M2=PERM_CONV_M,MAX(0,M16-M18),0)</f>
        <v/>
      </c>
      <c r="N19" s="12">
        <f>IF(N2=PERM_CONV_M,MAX(0,N16-N18),0)</f>
        <v/>
      </c>
      <c r="O19" s="12">
        <f>IF(O2=PERM_CONV_M,MAX(0,O16-O18),0)</f>
        <v/>
      </c>
      <c r="P19" s="12">
        <f>IF(P2=PERM_CONV_M,MAX(0,P16-P18),0)</f>
        <v/>
      </c>
      <c r="Q19" s="12">
        <f>IF(Q2=PERM_CONV_M,MAX(0,Q16-Q18),0)</f>
        <v/>
      </c>
      <c r="R19" s="12">
        <f>IF(R2=PERM_CONV_M,MAX(0,R16-R18),0)</f>
        <v/>
      </c>
      <c r="S19" s="12">
        <f>IF(S2=PERM_CONV_M,MAX(0,S16-S18),0)</f>
        <v/>
      </c>
      <c r="T19" s="12">
        <f>IF(T2=PERM_CONV_M,MAX(0,T16-T18),0)</f>
        <v/>
      </c>
      <c r="U19" s="12">
        <f>IF(U2=PERM_CONV_M,MAX(0,U16-U18),0)</f>
        <v/>
      </c>
      <c r="V19" s="12">
        <f>IF(V2=PERM_CONV_M,MAX(0,V16-V18),0)</f>
        <v/>
      </c>
      <c r="W19" s="12">
        <f>IF(W2=PERM_CONV_M,MAX(0,W16-W18),0)</f>
        <v/>
      </c>
      <c r="X19" s="12">
        <f>IF(X2=PERM_CONV_M,MAX(0,X16-X18),0)</f>
        <v/>
      </c>
      <c r="Y19" s="12">
        <f>IF(Y2=PERM_CONV_M,MAX(0,Y16-Y18),0)</f>
        <v/>
      </c>
      <c r="Z19" s="12">
        <f>IF(Z2=PERM_CONV_M,MAX(0,Z16-Z18),0)</f>
        <v/>
      </c>
      <c r="AA19" s="12">
        <f>IF(AA2=PERM_CONV_M,MAX(0,AA16-AA18),0)</f>
        <v/>
      </c>
      <c r="AB19" s="12">
        <f>IF(AB2=PERM_CONV_M,MAX(0,AB16-AB18),0)</f>
        <v/>
      </c>
      <c r="AC19" s="12">
        <f>IF(AC2=PERM_CONV_M,MAX(0,AC16-AC18),0)</f>
        <v/>
      </c>
      <c r="AD19" s="12">
        <f>IF(AD2=PERM_CONV_M,MAX(0,AD16-AD18),0)</f>
        <v/>
      </c>
      <c r="AE19" s="12">
        <f>IF(AE2=PERM_CONV_M,MAX(0,AE16-AE18),0)</f>
        <v/>
      </c>
      <c r="AF19" s="12">
        <f>IF(AF2=PERM_CONV_M,MAX(0,AF16-AF18),0)</f>
        <v/>
      </c>
      <c r="AG19" s="12">
        <f>IF(AG2=PERM_CONV_M,MAX(0,AG16-AG18),0)</f>
        <v/>
      </c>
      <c r="AH19" s="12">
        <f>IF(AH2=PERM_CONV_M,MAX(0,AH16-AH18),0)</f>
        <v/>
      </c>
      <c r="AI19" s="12">
        <f>IF(AI2=PERM_CONV_M,MAX(0,AI16-AI18),0)</f>
        <v/>
      </c>
      <c r="AJ19" s="12">
        <f>IF(AJ2=PERM_CONV_M,MAX(0,AJ16-AJ18),0)</f>
        <v/>
      </c>
      <c r="AK19" s="12">
        <f>IF(AK2=PERM_CONV_M,MAX(0,AK16-AK18),0)</f>
        <v/>
      </c>
      <c r="AL19" s="12">
        <f>IF(AL2=PERM_CONV_M,MAX(0,AL16-AL18),0)</f>
        <v/>
      </c>
      <c r="AM19" s="12">
        <f>IF(AM2=PERM_CONV_M,MAX(0,AM16-AM18),0)</f>
        <v/>
      </c>
      <c r="AN19" s="12">
        <f>IF(AN2=PERM_CONV_M,MAX(0,AN16-AN18),0)</f>
        <v/>
      </c>
      <c r="AO19" s="12">
        <f>IF(AO2=PERM_CONV_M,MAX(0,AO16-AO18),0)</f>
        <v/>
      </c>
      <c r="AP19" s="12">
        <f>IF(AP2=PERM_CONV_M,MAX(0,AP16-AP18),0)</f>
        <v/>
      </c>
      <c r="AQ19" s="12">
        <f>IF(AQ2=PERM_CONV_M,MAX(0,AQ16-AQ18),0)</f>
        <v/>
      </c>
      <c r="AR19" s="12">
        <f>IF(AR2=PERM_CONV_M,MAX(0,AR16-AR18),0)</f>
        <v/>
      </c>
      <c r="AS19" s="12">
        <f>IF(AS2=PERM_CONV_M,MAX(0,AS16-AS18),0)</f>
        <v/>
      </c>
      <c r="AT19" s="12">
        <f>IF(AT2=PERM_CONV_M,MAX(0,AT16-AT18),0)</f>
        <v/>
      </c>
      <c r="AU19" s="12">
        <f>IF(AU2=PERM_CONV_M,MAX(0,AU16-AU18),0)</f>
        <v/>
      </c>
      <c r="AV19" s="12">
        <f>IF(AV2=PERM_CONV_M,MAX(0,AV16-AV18),0)</f>
        <v/>
      </c>
      <c r="AW19" s="12">
        <f>IF(AW2=PERM_CONV_M,MAX(0,AW16-AW18),0)</f>
        <v/>
      </c>
      <c r="AX19" s="12">
        <f>IF(AX2=PERM_CONV_M,MAX(0,AX16-AX18),0)</f>
        <v/>
      </c>
      <c r="AY19" s="12">
        <f>IF(AY2=PERM_CONV_M,MAX(0,AY16-AY18),0)</f>
        <v/>
      </c>
      <c r="AZ19" s="12">
        <f>IF(AZ2=PERM_CONV_M,MAX(0,AZ16-AZ18),0)</f>
        <v/>
      </c>
      <c r="BA19" s="12">
        <f>IF(BA2=PERM_CONV_M,MAX(0,BA16-BA18),0)</f>
        <v/>
      </c>
      <c r="BB19" s="12">
        <f>IF(BB2=PERM_CONV_M,MAX(0,BB16-BB18),0)</f>
        <v/>
      </c>
      <c r="BC19" s="12">
        <f>IF(BC2=PERM_CONV_M,MAX(0,BC16-BC18),0)</f>
        <v/>
      </c>
      <c r="BD19" s="12">
        <f>IF(BD2=PERM_CONV_M,MAX(0,BD16-BD18),0)</f>
        <v/>
      </c>
      <c r="BE19" s="12">
        <f>IF(BE2=PERM_CONV_M,MAX(0,BE16-BE18),0)</f>
        <v/>
      </c>
      <c r="BF19" s="12">
        <f>IF(BF2=PERM_CONV_M,MAX(0,BF16-BF18),0)</f>
        <v/>
      </c>
      <c r="BG19" s="12">
        <f>IF(BG2=PERM_CONV_M,MAX(0,BG16-BG18),0)</f>
        <v/>
      </c>
      <c r="BH19" s="12">
        <f>IF(BH2=PERM_CONV_M,MAX(0,BH16-BH18),0)</f>
        <v/>
      </c>
      <c r="BI19" s="12">
        <f>IF(BI2=PERM_CONV_M,MAX(0,BI16-BI18),0)</f>
        <v/>
      </c>
      <c r="BJ19" s="12">
        <f>IF(BJ2=PERM_CONV_M,MAX(0,BJ16-BJ18),0)</f>
        <v/>
      </c>
      <c r="BK19" s="12">
        <f>IF(BK2=PERM_CONV_M,MAX(0,BK16-BK18),0)</f>
        <v/>
      </c>
      <c r="BL19" s="12">
        <f>IF(BL2=PERM_CONV_M,MAX(0,BL16-BL18),0)</f>
        <v/>
      </c>
      <c r="BM19" s="12">
        <f>IF(BM2=PERM_CONV_M,MAX(0,BM16-BM18),0)</f>
        <v/>
      </c>
      <c r="BN19" s="12">
        <f>IF(BN2=PERM_CONV_M,MAX(0,BN16-BN18),0)</f>
        <v/>
      </c>
      <c r="BO19" s="12">
        <f>IF(BO2=PERM_CONV_M,MAX(0,BO16-BO18),0)</f>
        <v/>
      </c>
      <c r="BP19" s="12">
        <f>IF(BP2=PERM_CONV_M,MAX(0,BP16-BP18),0)</f>
        <v/>
      </c>
      <c r="BQ19" s="12">
        <f>IF(BQ2=PERM_CONV_M,MAX(0,BQ16-BQ18),0)</f>
        <v/>
      </c>
      <c r="BR19" s="12">
        <f>IF(BR2=PERM_CONV_M,MAX(0,BR16-BR18),0)</f>
        <v/>
      </c>
      <c r="BS19" s="12">
        <f>IF(BS2=PERM_CONV_M,MAX(0,BS16-BS18),0)</f>
        <v/>
      </c>
      <c r="BT19" s="12">
        <f>IF(BT2=PERM_CONV_M,MAX(0,BT16-BT18),0)</f>
        <v/>
      </c>
      <c r="BU19" s="12">
        <f>IF(BU2=PERM_CONV_M,MAX(0,BU16-BU18),0)</f>
        <v/>
      </c>
      <c r="BV19" s="12">
        <f>IF(BV2=PERM_CONV_M,MAX(0,BV16-BV18),0)</f>
        <v/>
      </c>
      <c r="BW19" s="12">
        <f>IF(BW2=PERM_CONV_M,MAX(0,BW16-BW18),0)</f>
        <v/>
      </c>
      <c r="BX19" s="12">
        <f>IF(BX2=PERM_CONV_M,MAX(0,BX16-BX18),0)</f>
        <v/>
      </c>
      <c r="BY19" s="12">
        <f>IF(BY2=PERM_CONV_M,MAX(0,BY16-BY18),0)</f>
        <v/>
      </c>
      <c r="BZ19" s="12">
        <f>IF(BZ2=PERM_CONV_M,MAX(0,BZ16-BZ18),0)</f>
        <v/>
      </c>
      <c r="CA19" s="12">
        <f>IF(CA2=PERM_CONV_M,MAX(0,CA16-CA18),0)</f>
        <v/>
      </c>
      <c r="CB19" s="12">
        <f>IF(CB2=PERM_CONV_M,MAX(0,CB16-CB18),0)</f>
        <v/>
      </c>
      <c r="CC19" s="12">
        <f>IF(CC2=PERM_CONV_M,MAX(0,CC16-CC18),0)</f>
        <v/>
      </c>
      <c r="CD19" s="12">
        <f>IF(CD2=PERM_CONV_M,MAX(0,CD16-CD18),0)</f>
        <v/>
      </c>
      <c r="CE19" s="12">
        <f>IF(CE2=PERM_CONV_M,MAX(0,CE16-CE18),0)</f>
        <v/>
      </c>
      <c r="CF19" s="12">
        <f>IF(CF2=PERM_CONV_M,MAX(0,CF16-CF18),0)</f>
        <v/>
      </c>
      <c r="CG19" s="12">
        <f>IF(CG2=PERM_CONV_M,MAX(0,CG16-CG18),0)</f>
        <v/>
      </c>
      <c r="CH19" s="12">
        <f>IF(CH2=PERM_CONV_M,MAX(0,CH16-CH18),0)</f>
        <v/>
      </c>
    </row>
    <row r="20">
      <c r="A20" s="3" t="inlineStr">
        <is>
          <t>Total repayments</t>
        </is>
      </c>
      <c r="B20" s="4" t="inlineStr">
        <is>
          <t>$</t>
        </is>
      </c>
      <c r="C20" s="12">
        <f>C18+C19</f>
        <v/>
      </c>
      <c r="D20" s="12">
        <f>D18+D19</f>
        <v/>
      </c>
      <c r="E20" s="12">
        <f>E18+E19</f>
        <v/>
      </c>
      <c r="F20" s="12">
        <f>F18+F19</f>
        <v/>
      </c>
      <c r="G20" s="12">
        <f>G18+G19</f>
        <v/>
      </c>
      <c r="H20" s="12">
        <f>H18+H19</f>
        <v/>
      </c>
      <c r="I20" s="12">
        <f>I18+I19</f>
        <v/>
      </c>
      <c r="J20" s="12">
        <f>J18+J19</f>
        <v/>
      </c>
      <c r="K20" s="12">
        <f>K18+K19</f>
        <v/>
      </c>
      <c r="L20" s="12">
        <f>L18+L19</f>
        <v/>
      </c>
      <c r="M20" s="12">
        <f>M18+M19</f>
        <v/>
      </c>
      <c r="N20" s="12">
        <f>N18+N19</f>
        <v/>
      </c>
      <c r="O20" s="12">
        <f>O18+O19</f>
        <v/>
      </c>
      <c r="P20" s="12">
        <f>P18+P19</f>
        <v/>
      </c>
      <c r="Q20" s="12">
        <f>Q18+Q19</f>
        <v/>
      </c>
      <c r="R20" s="12">
        <f>R18+R19</f>
        <v/>
      </c>
      <c r="S20" s="12">
        <f>S18+S19</f>
        <v/>
      </c>
      <c r="T20" s="12">
        <f>T18+T19</f>
        <v/>
      </c>
      <c r="U20" s="12">
        <f>U18+U19</f>
        <v/>
      </c>
      <c r="V20" s="12">
        <f>V18+V19</f>
        <v/>
      </c>
      <c r="W20" s="12">
        <f>W18+W19</f>
        <v/>
      </c>
      <c r="X20" s="12">
        <f>X18+X19</f>
        <v/>
      </c>
      <c r="Y20" s="12">
        <f>Y18+Y19</f>
        <v/>
      </c>
      <c r="Z20" s="12">
        <f>Z18+Z19</f>
        <v/>
      </c>
      <c r="AA20" s="12">
        <f>AA18+AA19</f>
        <v/>
      </c>
      <c r="AB20" s="12">
        <f>AB18+AB19</f>
        <v/>
      </c>
      <c r="AC20" s="12">
        <f>AC18+AC19</f>
        <v/>
      </c>
      <c r="AD20" s="12">
        <f>AD18+AD19</f>
        <v/>
      </c>
      <c r="AE20" s="12">
        <f>AE18+AE19</f>
        <v/>
      </c>
      <c r="AF20" s="12">
        <f>AF18+AF19</f>
        <v/>
      </c>
      <c r="AG20" s="12">
        <f>AG18+AG19</f>
        <v/>
      </c>
      <c r="AH20" s="12">
        <f>AH18+AH19</f>
        <v/>
      </c>
      <c r="AI20" s="12">
        <f>AI18+AI19</f>
        <v/>
      </c>
      <c r="AJ20" s="12">
        <f>AJ18+AJ19</f>
        <v/>
      </c>
      <c r="AK20" s="12">
        <f>AK18+AK19</f>
        <v/>
      </c>
      <c r="AL20" s="12">
        <f>AL18+AL19</f>
        <v/>
      </c>
      <c r="AM20" s="12">
        <f>AM18+AM19</f>
        <v/>
      </c>
      <c r="AN20" s="12">
        <f>AN18+AN19</f>
        <v/>
      </c>
      <c r="AO20" s="12">
        <f>AO18+AO19</f>
        <v/>
      </c>
      <c r="AP20" s="12">
        <f>AP18+AP19</f>
        <v/>
      </c>
      <c r="AQ20" s="12">
        <f>AQ18+AQ19</f>
        <v/>
      </c>
      <c r="AR20" s="12">
        <f>AR18+AR19</f>
        <v/>
      </c>
      <c r="AS20" s="12">
        <f>AS18+AS19</f>
        <v/>
      </c>
      <c r="AT20" s="12">
        <f>AT18+AT19</f>
        <v/>
      </c>
      <c r="AU20" s="12">
        <f>AU18+AU19</f>
        <v/>
      </c>
      <c r="AV20" s="12">
        <f>AV18+AV19</f>
        <v/>
      </c>
      <c r="AW20" s="12">
        <f>AW18+AW19</f>
        <v/>
      </c>
      <c r="AX20" s="12">
        <f>AX18+AX19</f>
        <v/>
      </c>
      <c r="AY20" s="12">
        <f>AY18+AY19</f>
        <v/>
      </c>
      <c r="AZ20" s="12">
        <f>AZ18+AZ19</f>
        <v/>
      </c>
      <c r="BA20" s="12">
        <f>BA18+BA19</f>
        <v/>
      </c>
      <c r="BB20" s="12">
        <f>BB18+BB19</f>
        <v/>
      </c>
      <c r="BC20" s="12">
        <f>BC18+BC19</f>
        <v/>
      </c>
      <c r="BD20" s="12">
        <f>BD18+BD19</f>
        <v/>
      </c>
      <c r="BE20" s="12">
        <f>BE18+BE19</f>
        <v/>
      </c>
      <c r="BF20" s="12">
        <f>BF18+BF19</f>
        <v/>
      </c>
      <c r="BG20" s="12">
        <f>BG18+BG19</f>
        <v/>
      </c>
      <c r="BH20" s="12">
        <f>BH18+BH19</f>
        <v/>
      </c>
      <c r="BI20" s="12">
        <f>BI18+BI19</f>
        <v/>
      </c>
      <c r="BJ20" s="12">
        <f>BJ18+BJ19</f>
        <v/>
      </c>
      <c r="BK20" s="12">
        <f>BK18+BK19</f>
        <v/>
      </c>
      <c r="BL20" s="12">
        <f>BL18+BL19</f>
        <v/>
      </c>
      <c r="BM20" s="12">
        <f>BM18+BM19</f>
        <v/>
      </c>
      <c r="BN20" s="12">
        <f>BN18+BN19</f>
        <v/>
      </c>
      <c r="BO20" s="12">
        <f>BO18+BO19</f>
        <v/>
      </c>
      <c r="BP20" s="12">
        <f>BP18+BP19</f>
        <v/>
      </c>
      <c r="BQ20" s="12">
        <f>BQ18+BQ19</f>
        <v/>
      </c>
      <c r="BR20" s="12">
        <f>BR18+BR19</f>
        <v/>
      </c>
      <c r="BS20" s="12">
        <f>BS18+BS19</f>
        <v/>
      </c>
      <c r="BT20" s="12">
        <f>BT18+BT19</f>
        <v/>
      </c>
      <c r="BU20" s="12">
        <f>BU18+BU19</f>
        <v/>
      </c>
      <c r="BV20" s="12">
        <f>BV18+BV19</f>
        <v/>
      </c>
      <c r="BW20" s="12">
        <f>BW18+BW19</f>
        <v/>
      </c>
      <c r="BX20" s="12">
        <f>BX18+BX19</f>
        <v/>
      </c>
      <c r="BY20" s="12">
        <f>BY18+BY19</f>
        <v/>
      </c>
      <c r="BZ20" s="12">
        <f>BZ18+BZ19</f>
        <v/>
      </c>
      <c r="CA20" s="12">
        <f>CA18+CA19</f>
        <v/>
      </c>
      <c r="CB20" s="12">
        <f>CB18+CB19</f>
        <v/>
      </c>
      <c r="CC20" s="12">
        <f>CC18+CC19</f>
        <v/>
      </c>
      <c r="CD20" s="12">
        <f>CD18+CD19</f>
        <v/>
      </c>
      <c r="CE20" s="12">
        <f>CE18+CE19</f>
        <v/>
      </c>
      <c r="CF20" s="12">
        <f>CF18+CF19</f>
        <v/>
      </c>
      <c r="CG20" s="12">
        <f>CG18+CG19</f>
        <v/>
      </c>
      <c r="CH20" s="12">
        <f>CH18+CH19</f>
        <v/>
      </c>
    </row>
    <row r="21">
      <c r="A21" s="3" t="inlineStr">
        <is>
          <t>Debt closing balance</t>
        </is>
      </c>
      <c r="B21" s="4" t="inlineStr">
        <is>
          <t>$</t>
        </is>
      </c>
      <c r="C21" s="12">
        <f>C12+C15-C20</f>
        <v/>
      </c>
      <c r="D21" s="12">
        <f>D12+D15-D20</f>
        <v/>
      </c>
      <c r="E21" s="12">
        <f>E12+E15-E20</f>
        <v/>
      </c>
      <c r="F21" s="12">
        <f>F12+F15-F20</f>
        <v/>
      </c>
      <c r="G21" s="12">
        <f>G12+G15-G20</f>
        <v/>
      </c>
      <c r="H21" s="12">
        <f>H12+H15-H20</f>
        <v/>
      </c>
      <c r="I21" s="12">
        <f>I12+I15-I20</f>
        <v/>
      </c>
      <c r="J21" s="12">
        <f>J12+J15-J20</f>
        <v/>
      </c>
      <c r="K21" s="12">
        <f>K12+K15-K20</f>
        <v/>
      </c>
      <c r="L21" s="12">
        <f>L12+L15-L20</f>
        <v/>
      </c>
      <c r="M21" s="12">
        <f>M12+M15-M20</f>
        <v/>
      </c>
      <c r="N21" s="12">
        <f>N12+N15-N20</f>
        <v/>
      </c>
      <c r="O21" s="12">
        <f>O12+O15-O20</f>
        <v/>
      </c>
      <c r="P21" s="12">
        <f>P12+P15-P20</f>
        <v/>
      </c>
      <c r="Q21" s="12">
        <f>Q12+Q15-Q20</f>
        <v/>
      </c>
      <c r="R21" s="12">
        <f>R12+R15-R20</f>
        <v/>
      </c>
      <c r="S21" s="12">
        <f>S12+S15-S20</f>
        <v/>
      </c>
      <c r="T21" s="12">
        <f>T12+T15-T20</f>
        <v/>
      </c>
      <c r="U21" s="12">
        <f>U12+U15-U20</f>
        <v/>
      </c>
      <c r="V21" s="12">
        <f>V12+V15-V20</f>
        <v/>
      </c>
      <c r="W21" s="12">
        <f>W12+W15-W20</f>
        <v/>
      </c>
      <c r="X21" s="12">
        <f>X12+X15-X20</f>
        <v/>
      </c>
      <c r="Y21" s="12">
        <f>Y12+Y15-Y20</f>
        <v/>
      </c>
      <c r="Z21" s="12">
        <f>Z12+Z15-Z20</f>
        <v/>
      </c>
      <c r="AA21" s="12">
        <f>AA12+AA15-AA20</f>
        <v/>
      </c>
      <c r="AB21" s="12">
        <f>AB12+AB15-AB20</f>
        <v/>
      </c>
      <c r="AC21" s="12">
        <f>AC12+AC15-AC20</f>
        <v/>
      </c>
      <c r="AD21" s="12">
        <f>AD12+AD15-AD20</f>
        <v/>
      </c>
      <c r="AE21" s="12">
        <f>AE12+AE15-AE20</f>
        <v/>
      </c>
      <c r="AF21" s="12">
        <f>AF12+AF15-AF20</f>
        <v/>
      </c>
      <c r="AG21" s="12">
        <f>AG12+AG15-AG20</f>
        <v/>
      </c>
      <c r="AH21" s="12">
        <f>AH12+AH15-AH20</f>
        <v/>
      </c>
      <c r="AI21" s="12">
        <f>AI12+AI15-AI20</f>
        <v/>
      </c>
      <c r="AJ21" s="12">
        <f>AJ12+AJ15-AJ20</f>
        <v/>
      </c>
      <c r="AK21" s="12">
        <f>AK12+AK15-AK20</f>
        <v/>
      </c>
      <c r="AL21" s="12">
        <f>AL12+AL15-AL20</f>
        <v/>
      </c>
      <c r="AM21" s="12">
        <f>AM12+AM15-AM20</f>
        <v/>
      </c>
      <c r="AN21" s="12">
        <f>AN12+AN15-AN20</f>
        <v/>
      </c>
      <c r="AO21" s="12">
        <f>AO12+AO15-AO20</f>
        <v/>
      </c>
      <c r="AP21" s="12">
        <f>AP12+AP15-AP20</f>
        <v/>
      </c>
      <c r="AQ21" s="12">
        <f>AQ12+AQ15-AQ20</f>
        <v/>
      </c>
      <c r="AR21" s="12">
        <f>AR12+AR15-AR20</f>
        <v/>
      </c>
      <c r="AS21" s="12">
        <f>AS12+AS15-AS20</f>
        <v/>
      </c>
      <c r="AT21" s="12">
        <f>AT12+AT15-AT20</f>
        <v/>
      </c>
      <c r="AU21" s="12">
        <f>AU12+AU15-AU20</f>
        <v/>
      </c>
      <c r="AV21" s="12">
        <f>AV12+AV15-AV20</f>
        <v/>
      </c>
      <c r="AW21" s="12">
        <f>AW12+AW15-AW20</f>
        <v/>
      </c>
      <c r="AX21" s="12">
        <f>AX12+AX15-AX20</f>
        <v/>
      </c>
      <c r="AY21" s="12">
        <f>AY12+AY15-AY20</f>
        <v/>
      </c>
      <c r="AZ21" s="12">
        <f>AZ12+AZ15-AZ20</f>
        <v/>
      </c>
      <c r="BA21" s="12">
        <f>BA12+BA15-BA20</f>
        <v/>
      </c>
      <c r="BB21" s="12">
        <f>BB12+BB15-BB20</f>
        <v/>
      </c>
      <c r="BC21" s="12">
        <f>BC12+BC15-BC20</f>
        <v/>
      </c>
      <c r="BD21" s="12">
        <f>BD12+BD15-BD20</f>
        <v/>
      </c>
      <c r="BE21" s="12">
        <f>BE12+BE15-BE20</f>
        <v/>
      </c>
      <c r="BF21" s="12">
        <f>BF12+BF15-BF20</f>
        <v/>
      </c>
      <c r="BG21" s="12">
        <f>BG12+BG15-BG20</f>
        <v/>
      </c>
      <c r="BH21" s="12">
        <f>BH12+BH15-BH20</f>
        <v/>
      </c>
      <c r="BI21" s="12">
        <f>BI12+BI15-BI20</f>
        <v/>
      </c>
      <c r="BJ21" s="12">
        <f>BJ12+BJ15-BJ20</f>
        <v/>
      </c>
      <c r="BK21" s="12">
        <f>BK12+BK15-BK20</f>
        <v/>
      </c>
      <c r="BL21" s="12">
        <f>BL12+BL15-BL20</f>
        <v/>
      </c>
      <c r="BM21" s="12">
        <f>BM12+BM15-BM20</f>
        <v/>
      </c>
      <c r="BN21" s="12">
        <f>BN12+BN15-BN20</f>
        <v/>
      </c>
      <c r="BO21" s="12">
        <f>BO12+BO15-BO20</f>
        <v/>
      </c>
      <c r="BP21" s="12">
        <f>BP12+BP15-BP20</f>
        <v/>
      </c>
      <c r="BQ21" s="12">
        <f>BQ12+BQ15-BQ20</f>
        <v/>
      </c>
      <c r="BR21" s="12">
        <f>BR12+BR15-BR20</f>
        <v/>
      </c>
      <c r="BS21" s="12">
        <f>BS12+BS15-BS20</f>
        <v/>
      </c>
      <c r="BT21" s="12">
        <f>BT12+BT15-BT20</f>
        <v/>
      </c>
      <c r="BU21" s="12">
        <f>BU12+BU15-BU20</f>
        <v/>
      </c>
      <c r="BV21" s="12">
        <f>BV12+BV15-BV20</f>
        <v/>
      </c>
      <c r="BW21" s="12">
        <f>BW12+BW15-BW20</f>
        <v/>
      </c>
      <c r="BX21" s="12">
        <f>BX12+BX15-BX20</f>
        <v/>
      </c>
      <c r="BY21" s="12">
        <f>BY12+BY15-BY20</f>
        <v/>
      </c>
      <c r="BZ21" s="12">
        <f>BZ12+BZ15-BZ20</f>
        <v/>
      </c>
      <c r="CA21" s="12">
        <f>CA12+CA15-CA20</f>
        <v/>
      </c>
      <c r="CB21" s="12">
        <f>CB12+CB15-CB20</f>
        <v/>
      </c>
      <c r="CC21" s="12">
        <f>CC12+CC15-CC20</f>
        <v/>
      </c>
      <c r="CD21" s="12">
        <f>CD12+CD15-CD20</f>
        <v/>
      </c>
      <c r="CE21" s="12">
        <f>CE12+CE15-CE20</f>
        <v/>
      </c>
      <c r="CF21" s="12">
        <f>CF12+CF15-CF20</f>
        <v/>
      </c>
      <c r="CG21" s="12">
        <f>CG12+CG15-CG20</f>
        <v/>
      </c>
      <c r="CH21" s="12">
        <f>CH12+CH15-CH20</f>
        <v/>
      </c>
    </row>
    <row r="23">
      <c r="A23" s="3" t="inlineStr">
        <is>
          <t>Audit interest gap</t>
        </is>
      </c>
      <c r="B23" s="4" t="inlineStr">
        <is>
          <t>$</t>
        </is>
      </c>
      <c r="C23" s="14">
        <f>ABS(C13-C12*(MAX(SOFR_FLOOR_PCT,INDEX(SOFR!$C$2:$C$85,C2))+CT_SPREAD_PCT)/12)</f>
        <v/>
      </c>
      <c r="D23" s="14">
        <f>ABS(D13-D12*(MAX(SOFR_FLOOR_PCT,INDEX(SOFR!$C$2:$C$85,D2))+CT_SPREAD_PCT)/12)</f>
        <v/>
      </c>
      <c r="E23" s="14">
        <f>ABS(E13-E12*(MAX(SOFR_FLOOR_PCT,INDEX(SOFR!$C$2:$C$85,E2))+CT_SPREAD_PCT)/12)</f>
        <v/>
      </c>
      <c r="F23" s="14">
        <f>ABS(F13-F12*(MAX(SOFR_FLOOR_PCT,INDEX(SOFR!$C$2:$C$85,F2))+CT_SPREAD_PCT)/12)</f>
        <v/>
      </c>
      <c r="G23" s="14">
        <f>ABS(G13-G12*(MAX(SOFR_FLOOR_PCT,INDEX(SOFR!$C$2:$C$85,G2))+CT_SPREAD_PCT)/12)</f>
        <v/>
      </c>
      <c r="H23" s="14">
        <f>ABS(H13-H12*(MAX(SOFR_FLOOR_PCT,INDEX(SOFR!$C$2:$C$85,H2))+CT_SPREAD_PCT)/12)</f>
        <v/>
      </c>
      <c r="I23" s="14">
        <f>ABS(I13-I12*(MAX(SOFR_FLOOR_PCT,INDEX(SOFR!$C$2:$C$85,I2))+CT_SPREAD_PCT)/12)</f>
        <v/>
      </c>
      <c r="J23" s="14">
        <f>ABS(J13-J12*(MAX(SOFR_FLOOR_PCT,INDEX(SOFR!$C$2:$C$85,J2))+CT_SPREAD_PCT)/12)</f>
        <v/>
      </c>
      <c r="K23" s="14">
        <f>ABS(K13-K12*(MAX(SOFR_FLOOR_PCT,INDEX(SOFR!$C$2:$C$85,K2))+CT_SPREAD_PCT)/12)</f>
        <v/>
      </c>
      <c r="L23" s="14">
        <f>ABS(L13-L12*(MAX(SOFR_FLOOR_PCT,INDEX(SOFR!$C$2:$C$85,L2))+CT_SPREAD_PCT)/12)</f>
        <v/>
      </c>
      <c r="M23" s="14">
        <f>ABS(M13-M12*(MAX(SOFR_FLOOR_PCT,INDEX(SOFR!$C$2:$C$85,M2))+CT_SPREAD_PCT)/12)</f>
        <v/>
      </c>
      <c r="N23" s="14">
        <f>ABS(N13-N12*(MAX(SOFR_FLOOR_PCT,INDEX(SOFR!$C$2:$C$85,N2))+CT_SPREAD_PCT)/12)</f>
        <v/>
      </c>
      <c r="O23" s="14">
        <f>ABS(O13-O12*(MAX(SOFR_FLOOR_PCT,INDEX(SOFR!$C$2:$C$85,O2))+CT_SPREAD_PCT)/12)</f>
        <v/>
      </c>
      <c r="P23" s="14">
        <f>ABS(P13-P12*(MAX(SOFR_FLOOR_PCT,INDEX(SOFR!$C$2:$C$85,P2))+CT_SPREAD_PCT)/12)</f>
        <v/>
      </c>
      <c r="Q23" s="14">
        <f>ABS(Q13-Q12*(MAX(SOFR_FLOOR_PCT,INDEX(SOFR!$C$2:$C$85,Q2))+CT_SPREAD_PCT)/12)</f>
        <v/>
      </c>
      <c r="R23" s="14">
        <f>ABS(R13-R12*(MAX(SOFR_FLOOR_PCT,INDEX(SOFR!$C$2:$C$85,R2))+CT_SPREAD_PCT)/12)</f>
        <v/>
      </c>
      <c r="S23" s="14">
        <f>ABS(S13-S12*(MAX(SOFR_FLOOR_PCT,INDEX(SOFR!$C$2:$C$85,S2))+CT_SPREAD_PCT)/12)</f>
        <v/>
      </c>
      <c r="T23" s="14">
        <f>ABS(T13-T12*(MAX(SOFR_FLOOR_PCT,INDEX(SOFR!$C$2:$C$85,T2))+CT_SPREAD_PCT)/12)</f>
        <v/>
      </c>
      <c r="U23" s="14">
        <f>ABS(U13-U12*(MAX(SOFR_FLOOR_PCT,INDEX(SOFR!$C$2:$C$85,U2))+CT_SPREAD_PCT)/12)</f>
        <v/>
      </c>
      <c r="V23" s="14">
        <f>ABS(V13-V12*(MAX(SOFR_FLOOR_PCT,INDEX(SOFR!$C$2:$C$85,V2))+CT_SPREAD_PCT)/12)</f>
        <v/>
      </c>
      <c r="W23" s="14">
        <f>ABS(W13-W12*(MAX(SOFR_FLOOR_PCT,INDEX(SOFR!$C$2:$C$85,W2))+CT_SPREAD_PCT)/12)</f>
        <v/>
      </c>
      <c r="X23" s="14">
        <f>ABS(X13-X12*(MAX(SOFR_FLOOR_PCT,INDEX(SOFR!$C$2:$C$85,X2))+CT_SPREAD_PCT)/12)</f>
        <v/>
      </c>
      <c r="Y23" s="14">
        <f>ABS(Y13-Y12*(MAX(SOFR_FLOOR_PCT,INDEX(SOFR!$C$2:$C$85,Y2))+CT_SPREAD_PCT)/12)</f>
        <v/>
      </c>
      <c r="Z23" s="14">
        <f>ABS(Z13-Z12*(MAX(SOFR_FLOOR_PCT,INDEX(SOFR!$C$2:$C$85,Z2))+CT_SPREAD_PCT)/12)</f>
        <v/>
      </c>
      <c r="AA23" s="14">
        <f>ABS(AA13-AA12*(MAX(SOFR_FLOOR_PCT,INDEX(SOFR!$C$2:$C$85,AA2))+CT_SPREAD_PCT)/12)</f>
        <v/>
      </c>
      <c r="AB23" s="14">
        <f>ABS(AB13-AB12*(MAX(SOFR_FLOOR_PCT,INDEX(SOFR!$C$2:$C$85,AB2))+CT_SPREAD_PCT)/12)</f>
        <v/>
      </c>
      <c r="AC23" s="14">
        <f>ABS(AC13-AC12*(MAX(SOFR_FLOOR_PCT,INDEX(SOFR!$C$2:$C$85,AC2))+CT_SPREAD_PCT)/12)</f>
        <v/>
      </c>
      <c r="AD23" s="14">
        <f>ABS(AD13-AD12*(MAX(SOFR_FLOOR_PCT,INDEX(SOFR!$C$2:$C$85,AD2))+CT_SPREAD_PCT)/12)</f>
        <v/>
      </c>
      <c r="AE23" s="14">
        <f>ABS(AE13-AE12*(MAX(SOFR_FLOOR_PCT,INDEX(SOFR!$C$2:$C$85,AE2))+CT_SPREAD_PCT)/12)</f>
        <v/>
      </c>
      <c r="AF23" s="14">
        <f>ABS(AF13-AF12*(MAX(SOFR_FLOOR_PCT,INDEX(SOFR!$C$2:$C$85,AF2))+CT_SPREAD_PCT)/12)</f>
        <v/>
      </c>
      <c r="AG23" s="14">
        <f>ABS(AG13-AG12*(MAX(SOFR_FLOOR_PCT,INDEX(SOFR!$C$2:$C$85,AG2))+CT_SPREAD_PCT)/12)</f>
        <v/>
      </c>
      <c r="AH23" s="14">
        <f>ABS(AH13-AH12*(MAX(SOFR_FLOOR_PCT,INDEX(SOFR!$C$2:$C$85,AH2))+CT_SPREAD_PCT)/12)</f>
        <v/>
      </c>
      <c r="AI23" s="14">
        <f>ABS(AI13-AI12*(MAX(SOFR_FLOOR_PCT,INDEX(SOFR!$C$2:$C$85,AI2))+CT_SPREAD_PCT)/12)</f>
        <v/>
      </c>
      <c r="AJ23" s="14">
        <f>ABS(AJ13-AJ12*(MAX(SOFR_FLOOR_PCT,INDEX(SOFR!$C$2:$C$85,AJ2))+CT_SPREAD_PCT)/12)</f>
        <v/>
      </c>
      <c r="AK23" s="14">
        <f>ABS(AK13-AK12*(MAX(SOFR_FLOOR_PCT,INDEX(SOFR!$C$2:$C$85,AK2))+CT_SPREAD_PCT)/12)</f>
        <v/>
      </c>
      <c r="AL23" s="14">
        <f>ABS(AL13-AL12*(MAX(SOFR_FLOOR_PCT,INDEX(SOFR!$C$2:$C$85,AL2))+CT_SPREAD_PCT)/12)</f>
        <v/>
      </c>
      <c r="AM23" s="14">
        <f>ABS(AM13-AM12*(MAX(SOFR_FLOOR_PCT,INDEX(SOFR!$C$2:$C$85,AM2))+CT_SPREAD_PCT)/12)</f>
        <v/>
      </c>
      <c r="AN23" s="14">
        <f>ABS(AN13-AN12*(MAX(SOFR_FLOOR_PCT,INDEX(SOFR!$C$2:$C$85,AN2))+CT_SPREAD_PCT)/12)</f>
        <v/>
      </c>
      <c r="AO23" s="14">
        <f>ABS(AO13-AO12*(MAX(SOFR_FLOOR_PCT,INDEX(SOFR!$C$2:$C$85,AO2))+CT_SPREAD_PCT)/12)</f>
        <v/>
      </c>
      <c r="AP23" s="14">
        <f>ABS(AP13-AP12*(MAX(SOFR_FLOOR_PCT,INDEX(SOFR!$C$2:$C$85,AP2))+CT_SPREAD_PCT)/12)</f>
        <v/>
      </c>
      <c r="AQ23" s="14">
        <f>ABS(AQ13-AQ12*(MAX(SOFR_FLOOR_PCT,INDEX(SOFR!$C$2:$C$85,AQ2))+CT_SPREAD_PCT)/12)</f>
        <v/>
      </c>
      <c r="AR23" s="14">
        <f>ABS(AR13-AR12*(MAX(SOFR_FLOOR_PCT,INDEX(SOFR!$C$2:$C$85,AR2))+CT_SPREAD_PCT)/12)</f>
        <v/>
      </c>
      <c r="AS23" s="14">
        <f>ABS(AS13-AS12*(MAX(SOFR_FLOOR_PCT,INDEX(SOFR!$C$2:$C$85,AS2))+CT_SPREAD_PCT)/12)</f>
        <v/>
      </c>
      <c r="AT23" s="14">
        <f>ABS(AT13-AT12*(MAX(SOFR_FLOOR_PCT,INDEX(SOFR!$C$2:$C$85,AT2))+CT_SPREAD_PCT)/12)</f>
        <v/>
      </c>
      <c r="AU23" s="14">
        <f>ABS(AU13-AU12*(MAX(SOFR_FLOOR_PCT,INDEX(SOFR!$C$2:$C$85,AU2))+CT_SPREAD_PCT)/12)</f>
        <v/>
      </c>
      <c r="AV23" s="14">
        <f>ABS(AV13-AV12*(MAX(SOFR_FLOOR_PCT,INDEX(SOFR!$C$2:$C$85,AV2))+CT_SPREAD_PCT)/12)</f>
        <v/>
      </c>
      <c r="AW23" s="14">
        <f>ABS(AW13-AW12*(MAX(SOFR_FLOOR_PCT,INDEX(SOFR!$C$2:$C$85,AW2))+CT_SPREAD_PCT)/12)</f>
        <v/>
      </c>
      <c r="AX23" s="14">
        <f>ABS(AX13-AX12*(MAX(SOFR_FLOOR_PCT,INDEX(SOFR!$C$2:$C$85,AX2))+CT_SPREAD_PCT)/12)</f>
        <v/>
      </c>
      <c r="AY23" s="14">
        <f>ABS(AY13-AY12*(MAX(SOFR_FLOOR_PCT,INDEX(SOFR!$C$2:$C$85,AY2))+CT_SPREAD_PCT)/12)</f>
        <v/>
      </c>
      <c r="AZ23" s="14">
        <f>ABS(AZ13-AZ12*(MAX(SOFR_FLOOR_PCT,INDEX(SOFR!$C$2:$C$85,AZ2))+CT_SPREAD_PCT)/12)</f>
        <v/>
      </c>
      <c r="BA23" s="14">
        <f>ABS(BA13-BA12*(MAX(SOFR_FLOOR_PCT,INDEX(SOFR!$C$2:$C$85,BA2))+CT_SPREAD_PCT)/12)</f>
        <v/>
      </c>
      <c r="BB23" s="14">
        <f>ABS(BB13-BB12*(MAX(SOFR_FLOOR_PCT,INDEX(SOFR!$C$2:$C$85,BB2))+CT_SPREAD_PCT)/12)</f>
        <v/>
      </c>
      <c r="BC23" s="14">
        <f>ABS(BC13-BC12*(MAX(SOFR_FLOOR_PCT,INDEX(SOFR!$C$2:$C$85,BC2))+CT_SPREAD_PCT)/12)</f>
        <v/>
      </c>
      <c r="BD23" s="14">
        <f>ABS(BD13-BD12*(MAX(SOFR_FLOOR_PCT,INDEX(SOFR!$C$2:$C$85,BD2))+CT_SPREAD_PCT)/12)</f>
        <v/>
      </c>
      <c r="BE23" s="14">
        <f>ABS(BE13-BE12*(MAX(SOFR_FLOOR_PCT,INDEX(SOFR!$C$2:$C$85,BE2))+CT_SPREAD_PCT)/12)</f>
        <v/>
      </c>
      <c r="BF23" s="14">
        <f>ABS(BF13-BF12*(MAX(SOFR_FLOOR_PCT,INDEX(SOFR!$C$2:$C$85,BF2))+CT_SPREAD_PCT)/12)</f>
        <v/>
      </c>
      <c r="BG23" s="14">
        <f>ABS(BG13-BG12*(MAX(SOFR_FLOOR_PCT,INDEX(SOFR!$C$2:$C$85,BG2))+CT_SPREAD_PCT)/12)</f>
        <v/>
      </c>
      <c r="BH23" s="14">
        <f>ABS(BH13-BH12*(MAX(SOFR_FLOOR_PCT,INDEX(SOFR!$C$2:$C$85,BH2))+CT_SPREAD_PCT)/12)</f>
        <v/>
      </c>
      <c r="BI23" s="14">
        <f>ABS(BI13-BI12*(MAX(SOFR_FLOOR_PCT,INDEX(SOFR!$C$2:$C$85,BI2))+CT_SPREAD_PCT)/12)</f>
        <v/>
      </c>
      <c r="BJ23" s="14">
        <f>ABS(BJ13-BJ12*(MAX(SOFR_FLOOR_PCT,INDEX(SOFR!$C$2:$C$85,BJ2))+CT_SPREAD_PCT)/12)</f>
        <v/>
      </c>
      <c r="BK23" s="14">
        <f>ABS(BK13-BK12*(MAX(SOFR_FLOOR_PCT,INDEX(SOFR!$C$2:$C$85,BK2))+CT_SPREAD_PCT)/12)</f>
        <v/>
      </c>
      <c r="BL23" s="14">
        <f>ABS(BL13-BL12*(MAX(SOFR_FLOOR_PCT,INDEX(SOFR!$C$2:$C$85,BL2))+CT_SPREAD_PCT)/12)</f>
        <v/>
      </c>
      <c r="BM23" s="14">
        <f>ABS(BM13-BM12*(MAX(SOFR_FLOOR_PCT,INDEX(SOFR!$C$2:$C$85,BM2))+CT_SPREAD_PCT)/12)</f>
        <v/>
      </c>
      <c r="BN23" s="14">
        <f>ABS(BN13-BN12*(MAX(SOFR_FLOOR_PCT,INDEX(SOFR!$C$2:$C$85,BN2))+CT_SPREAD_PCT)/12)</f>
        <v/>
      </c>
      <c r="BO23" s="14">
        <f>ABS(BO13-BO12*(MAX(SOFR_FLOOR_PCT,INDEX(SOFR!$C$2:$C$85,BO2))+CT_SPREAD_PCT)/12)</f>
        <v/>
      </c>
      <c r="BP23" s="14">
        <f>ABS(BP13-BP12*(MAX(SOFR_FLOOR_PCT,INDEX(SOFR!$C$2:$C$85,BP2))+CT_SPREAD_PCT)/12)</f>
        <v/>
      </c>
      <c r="BQ23" s="14">
        <f>ABS(BQ13-BQ12*(MAX(SOFR_FLOOR_PCT,INDEX(SOFR!$C$2:$C$85,BQ2))+CT_SPREAD_PCT)/12)</f>
        <v/>
      </c>
      <c r="BR23" s="14">
        <f>ABS(BR13-BR12*(MAX(SOFR_FLOOR_PCT,INDEX(SOFR!$C$2:$C$85,BR2))+CT_SPREAD_PCT)/12)</f>
        <v/>
      </c>
      <c r="BS23" s="14">
        <f>ABS(BS13-BS12*(MAX(SOFR_FLOOR_PCT,INDEX(SOFR!$C$2:$C$85,BS2))+CT_SPREAD_PCT)/12)</f>
        <v/>
      </c>
      <c r="BT23" s="14">
        <f>ABS(BT13-BT12*(MAX(SOFR_FLOOR_PCT,INDEX(SOFR!$C$2:$C$85,BT2))+CT_SPREAD_PCT)/12)</f>
        <v/>
      </c>
      <c r="BU23" s="14">
        <f>ABS(BU13-BU12*(MAX(SOFR_FLOOR_PCT,INDEX(SOFR!$C$2:$C$85,BU2))+CT_SPREAD_PCT)/12)</f>
        <v/>
      </c>
      <c r="BV23" s="14">
        <f>ABS(BV13-BV12*(MAX(SOFR_FLOOR_PCT,INDEX(SOFR!$C$2:$C$85,BV2))+CT_SPREAD_PCT)/12)</f>
        <v/>
      </c>
      <c r="BW23" s="14">
        <f>ABS(BW13-BW12*(MAX(SOFR_FLOOR_PCT,INDEX(SOFR!$C$2:$C$85,BW2))+CT_SPREAD_PCT)/12)</f>
        <v/>
      </c>
      <c r="BX23" s="14">
        <f>ABS(BX13-BX12*(MAX(SOFR_FLOOR_PCT,INDEX(SOFR!$C$2:$C$85,BX2))+CT_SPREAD_PCT)/12)</f>
        <v/>
      </c>
      <c r="BY23" s="14">
        <f>ABS(BY13-BY12*(MAX(SOFR_FLOOR_PCT,INDEX(SOFR!$C$2:$C$85,BY2))+CT_SPREAD_PCT)/12)</f>
        <v/>
      </c>
      <c r="BZ23" s="14">
        <f>ABS(BZ13-BZ12*(MAX(SOFR_FLOOR_PCT,INDEX(SOFR!$C$2:$C$85,BZ2))+CT_SPREAD_PCT)/12)</f>
        <v/>
      </c>
      <c r="CA23" s="14">
        <f>ABS(CA13-CA12*(MAX(SOFR_FLOOR_PCT,INDEX(SOFR!$C$2:$C$85,CA2))+CT_SPREAD_PCT)/12)</f>
        <v/>
      </c>
      <c r="CB23" s="14">
        <f>ABS(CB13-CB12*(MAX(SOFR_FLOOR_PCT,INDEX(SOFR!$C$2:$C$85,CB2))+CT_SPREAD_PCT)/12)</f>
        <v/>
      </c>
      <c r="CC23" s="14">
        <f>ABS(CC13-CC12*(MAX(SOFR_FLOOR_PCT,INDEX(SOFR!$C$2:$C$85,CC2))+CT_SPREAD_PCT)/12)</f>
        <v/>
      </c>
      <c r="CD23" s="14">
        <f>ABS(CD13-CD12*(MAX(SOFR_FLOOR_PCT,INDEX(SOFR!$C$2:$C$85,CD2))+CT_SPREAD_PCT)/12)</f>
        <v/>
      </c>
      <c r="CE23" s="14">
        <f>ABS(CE13-CE12*(MAX(SOFR_FLOOR_PCT,INDEX(SOFR!$C$2:$C$85,CE2))+CT_SPREAD_PCT)/12)</f>
        <v/>
      </c>
      <c r="CF23" s="14">
        <f>ABS(CF13-CF12*(MAX(SOFR_FLOOR_PCT,INDEX(SOFR!$C$2:$C$85,CF2))+CT_SPREAD_PCT)/12)</f>
        <v/>
      </c>
      <c r="CG23" s="14">
        <f>ABS(CG13-CG12*(MAX(SOFR_FLOOR_PCT,INDEX(SOFR!$C$2:$C$85,CG2))+CT_SPREAD_PCT)/12)</f>
        <v/>
      </c>
      <c r="CH23" s="14">
        <f>ABS(CH13-CH12*(MAX(SOFR_FLOOR_PCT,INDEX(SOFR!$C$2:$C$85,CH2))+CT_SPREAD_PCT)/12)</f>
        <v/>
      </c>
    </row>
    <row r="24">
      <c r="A24" s="3" t="inlineStr">
        <is>
          <t>Audit roll-forward gap</t>
        </is>
      </c>
      <c r="B24" s="4" t="inlineStr">
        <is>
          <t>$</t>
        </is>
      </c>
      <c r="C24" s="14">
        <f>ABS(C12-0)</f>
        <v/>
      </c>
      <c r="D24" s="14">
        <f>ABS(D12-(C12+C15-C20))</f>
        <v/>
      </c>
      <c r="E24" s="14">
        <f>ABS(E12-(D12+D15-D20))</f>
        <v/>
      </c>
      <c r="F24" s="14">
        <f>ABS(F12-(E12+E15-E20))</f>
        <v/>
      </c>
      <c r="G24" s="14">
        <f>ABS(G12-(F12+F15-F20))</f>
        <v/>
      </c>
      <c r="H24" s="14">
        <f>ABS(H12-(G12+G15-G20))</f>
        <v/>
      </c>
      <c r="I24" s="14">
        <f>ABS(I12-(H12+H15-H20))</f>
        <v/>
      </c>
      <c r="J24" s="14">
        <f>ABS(J12-(I12+I15-I20))</f>
        <v/>
      </c>
      <c r="K24" s="14">
        <f>ABS(K12-(J12+J15-J20))</f>
        <v/>
      </c>
      <c r="L24" s="14">
        <f>ABS(L12-(K12+K15-K20))</f>
        <v/>
      </c>
      <c r="M24" s="14">
        <f>ABS(M12-(L12+L15-L20))</f>
        <v/>
      </c>
      <c r="N24" s="14">
        <f>ABS(N12-(M12+M15-M20))</f>
        <v/>
      </c>
      <c r="O24" s="14">
        <f>ABS(O12-(N12+N15-N20))</f>
        <v/>
      </c>
      <c r="P24" s="14">
        <f>ABS(P12-(O12+O15-O20))</f>
        <v/>
      </c>
      <c r="Q24" s="14">
        <f>ABS(Q12-(P12+P15-P20))</f>
        <v/>
      </c>
      <c r="R24" s="14">
        <f>ABS(R12-(Q12+Q15-Q20))</f>
        <v/>
      </c>
      <c r="S24" s="14">
        <f>ABS(S12-(R12+R15-R20))</f>
        <v/>
      </c>
      <c r="T24" s="14">
        <f>ABS(T12-(S12+S15-S20))</f>
        <v/>
      </c>
      <c r="U24" s="14">
        <f>ABS(U12-(T12+T15-T20))</f>
        <v/>
      </c>
      <c r="V24" s="14">
        <f>ABS(V12-(U12+U15-U20))</f>
        <v/>
      </c>
      <c r="W24" s="14">
        <f>ABS(W12-(V12+V15-V20))</f>
        <v/>
      </c>
      <c r="X24" s="14">
        <f>ABS(X12-(W12+W15-W20))</f>
        <v/>
      </c>
      <c r="Y24" s="14">
        <f>ABS(Y12-(X12+X15-X20))</f>
        <v/>
      </c>
      <c r="Z24" s="14">
        <f>ABS(Z12-(Y12+Y15-Y20))</f>
        <v/>
      </c>
      <c r="AA24" s="14">
        <f>ABS(AA12-(Z12+Z15-Z20))</f>
        <v/>
      </c>
      <c r="AB24" s="14">
        <f>ABS(AB12-(AA12+AA15-AA20))</f>
        <v/>
      </c>
      <c r="AC24" s="14">
        <f>ABS(AC12-(AB12+AB15-AB20))</f>
        <v/>
      </c>
      <c r="AD24" s="14">
        <f>ABS(AD12-(AC12+AC15-AC20))</f>
        <v/>
      </c>
      <c r="AE24" s="14">
        <f>ABS(AE12-(AD12+AD15-AD20))</f>
        <v/>
      </c>
      <c r="AF24" s="14">
        <f>ABS(AF12-(AE12+AE15-AE20))</f>
        <v/>
      </c>
      <c r="AG24" s="14">
        <f>ABS(AG12-(AF12+AF15-AF20))</f>
        <v/>
      </c>
      <c r="AH24" s="14">
        <f>ABS(AH12-(AG12+AG15-AG20))</f>
        <v/>
      </c>
      <c r="AI24" s="14">
        <f>ABS(AI12-(AH12+AH15-AH20))</f>
        <v/>
      </c>
      <c r="AJ24" s="14">
        <f>ABS(AJ12-(AI12+AI15-AI20))</f>
        <v/>
      </c>
      <c r="AK24" s="14">
        <f>ABS(AK12-(AJ12+AJ15-AJ20))</f>
        <v/>
      </c>
      <c r="AL24" s="14">
        <f>ABS(AL12-(AK12+AK15-AK20))</f>
        <v/>
      </c>
      <c r="AM24" s="14">
        <f>ABS(AM12-(AL12+AL15-AL20))</f>
        <v/>
      </c>
      <c r="AN24" s="14">
        <f>ABS(AN12-(AM12+AM15-AM20))</f>
        <v/>
      </c>
      <c r="AO24" s="14">
        <f>ABS(AO12-(AN12+AN15-AN20))</f>
        <v/>
      </c>
      <c r="AP24" s="14">
        <f>ABS(AP12-(AO12+AO15-AO20))</f>
        <v/>
      </c>
      <c r="AQ24" s="14">
        <f>ABS(AQ12-(AP12+AP15-AP20))</f>
        <v/>
      </c>
      <c r="AR24" s="14">
        <f>ABS(AR12-(AQ12+AQ15-AQ20))</f>
        <v/>
      </c>
      <c r="AS24" s="14">
        <f>ABS(AS12-(AR12+AR15-AR20))</f>
        <v/>
      </c>
      <c r="AT24" s="14">
        <f>ABS(AT12-(AS12+AS15-AS20))</f>
        <v/>
      </c>
      <c r="AU24" s="14">
        <f>ABS(AU12-(AT12+AT15-AT20))</f>
        <v/>
      </c>
      <c r="AV24" s="14">
        <f>ABS(AV12-(AU12+AU15-AU20))</f>
        <v/>
      </c>
      <c r="AW24" s="14">
        <f>ABS(AW12-(AV12+AV15-AV20))</f>
        <v/>
      </c>
      <c r="AX24" s="14">
        <f>ABS(AX12-(AW12+AW15-AW20))</f>
        <v/>
      </c>
      <c r="AY24" s="14">
        <f>ABS(AY12-(AX12+AX15-AX20))</f>
        <v/>
      </c>
      <c r="AZ24" s="14">
        <f>ABS(AZ12-(AY12+AY15-AY20))</f>
        <v/>
      </c>
      <c r="BA24" s="14">
        <f>ABS(BA12-(AZ12+AZ15-AZ20))</f>
        <v/>
      </c>
      <c r="BB24" s="14">
        <f>ABS(BB12-(BA12+BA15-BA20))</f>
        <v/>
      </c>
      <c r="BC24" s="14">
        <f>ABS(BC12-(BB12+BB15-BB20))</f>
        <v/>
      </c>
      <c r="BD24" s="14">
        <f>ABS(BD12-(BC12+BC15-BC20))</f>
        <v/>
      </c>
      <c r="BE24" s="14">
        <f>ABS(BE12-(BD12+BD15-BD20))</f>
        <v/>
      </c>
      <c r="BF24" s="14">
        <f>ABS(BF12-(BE12+BE15-BE20))</f>
        <v/>
      </c>
      <c r="BG24" s="14">
        <f>ABS(BG12-(BF12+BF15-BF20))</f>
        <v/>
      </c>
      <c r="BH24" s="14">
        <f>ABS(BH12-(BG12+BG15-BG20))</f>
        <v/>
      </c>
      <c r="BI24" s="14">
        <f>ABS(BI12-(BH12+BH15-BH20))</f>
        <v/>
      </c>
      <c r="BJ24" s="14">
        <f>ABS(BJ12-(BI12+BI15-BI20))</f>
        <v/>
      </c>
      <c r="BK24" s="14">
        <f>ABS(BK12-(BJ12+BJ15-BJ20))</f>
        <v/>
      </c>
      <c r="BL24" s="14">
        <f>ABS(BL12-(BK12+BK15-BK20))</f>
        <v/>
      </c>
      <c r="BM24" s="14">
        <f>ABS(BM12-(BL12+BL15-BL20))</f>
        <v/>
      </c>
      <c r="BN24" s="14">
        <f>ABS(BN12-(BM12+BM15-BM20))</f>
        <v/>
      </c>
      <c r="BO24" s="14">
        <f>ABS(BO12-(BN12+BN15-BN20))</f>
        <v/>
      </c>
      <c r="BP24" s="14">
        <f>ABS(BP12-(BO12+BO15-BO20))</f>
        <v/>
      </c>
      <c r="BQ24" s="14">
        <f>ABS(BQ12-(BP12+BP15-BP20))</f>
        <v/>
      </c>
      <c r="BR24" s="14">
        <f>ABS(BR12-(BQ12+BQ15-BQ20))</f>
        <v/>
      </c>
      <c r="BS24" s="14">
        <f>ABS(BS12-(BR12+BR15-BR20))</f>
        <v/>
      </c>
      <c r="BT24" s="14">
        <f>ABS(BT12-(BS12+BS15-BS20))</f>
        <v/>
      </c>
      <c r="BU24" s="14">
        <f>ABS(BU12-(BT12+BT15-BT20))</f>
        <v/>
      </c>
      <c r="BV24" s="14">
        <f>ABS(BV12-(BU12+BU15-BU20))</f>
        <v/>
      </c>
      <c r="BW24" s="14">
        <f>ABS(BW12-(BV12+BV15-BV20))</f>
        <v/>
      </c>
      <c r="BX24" s="14">
        <f>ABS(BX12-(BW12+BW15-BW20))</f>
        <v/>
      </c>
      <c r="BY24" s="14">
        <f>ABS(BY12-(BX12+BX15-BX20))</f>
        <v/>
      </c>
      <c r="BZ24" s="14">
        <f>ABS(BZ12-(BY12+BY15-BY20))</f>
        <v/>
      </c>
      <c r="CA24" s="14">
        <f>ABS(CA12-(BZ12+BZ15-BZ20))</f>
        <v/>
      </c>
      <c r="CB24" s="14">
        <f>ABS(CB12-(CA12+CA15-CA20))</f>
        <v/>
      </c>
      <c r="CC24" s="14">
        <f>ABS(CC12-(CB12+CB15-CB20))</f>
        <v/>
      </c>
      <c r="CD24" s="14">
        <f>ABS(CD12-(CC12+CC15-CC20))</f>
        <v/>
      </c>
      <c r="CE24" s="14">
        <f>ABS(CE12-(CD12+CD15-CD20))</f>
        <v/>
      </c>
      <c r="CF24" s="14">
        <f>ABS(CF12-(CE12+CE15-CE20))</f>
        <v/>
      </c>
      <c r="CG24" s="14">
        <f>ABS(CG12-(CF12+CF15-CF20))</f>
        <v/>
      </c>
      <c r="CH24" s="14">
        <f>ABS(CH12-(CG12+CG15-CG20))</f>
        <v/>
      </c>
    </row>
  </sheetData>
  <autoFilter ref="A2:CH2"/>
  <pageMargins left="0.4" right="0.4" top="0.6" bottom="0.5" header="0.25" footer="0.25"/>
  <pageSetup orientation="landscape" paperSize="3" scale="55" fitToHeight="0" fitToWidth="1"/>
  <headerFooter>
    <oddHeader>&amp;LElite Luxury Mixed-Use  |  Illustrative template&amp;CConstructionDebt</oddHeader>
    <oddFooter>&amp;LNot a live deal  |  Not an offering  |  Not investment advice&amp;RPage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H39"/>
  <sheetViews>
    <sheetView view="pageBreakPreview" zoomScale="8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</cols>
  <sheetData>
    <row r="1" ht="22" customHeight="1">
      <c r="A1" s="1" t="inlineStr">
        <is>
          <t>PermanentDebt</t>
        </is>
      </c>
    </row>
    <row r="2">
      <c r="A2" s="3" t="inlineStr">
        <is>
          <t>Month</t>
        </is>
      </c>
      <c r="B2" t="inlineStr">
        <is>
          <t>index</t>
        </is>
      </c>
      <c r="C2" s="15">
        <f>COLUMN()-2</f>
        <v/>
      </c>
      <c r="D2" s="15">
        <f>COLUMN()-2</f>
        <v/>
      </c>
      <c r="E2" s="15">
        <f>COLUMN()-2</f>
        <v/>
      </c>
      <c r="F2" s="15">
        <f>COLUMN()-2</f>
        <v/>
      </c>
      <c r="G2" s="15">
        <f>COLUMN()-2</f>
        <v/>
      </c>
      <c r="H2" s="15">
        <f>COLUMN()-2</f>
        <v/>
      </c>
      <c r="I2" s="15">
        <f>COLUMN()-2</f>
        <v/>
      </c>
      <c r="J2" s="15">
        <f>COLUMN()-2</f>
        <v/>
      </c>
      <c r="K2" s="15">
        <f>COLUMN()-2</f>
        <v/>
      </c>
      <c r="L2" s="15">
        <f>COLUMN()-2</f>
        <v/>
      </c>
      <c r="M2" s="15">
        <f>COLUMN()-2</f>
        <v/>
      </c>
      <c r="N2" s="15">
        <f>COLUMN()-2</f>
        <v/>
      </c>
      <c r="O2" s="15">
        <f>COLUMN()-2</f>
        <v/>
      </c>
      <c r="P2" s="15">
        <f>COLUMN()-2</f>
        <v/>
      </c>
      <c r="Q2" s="15">
        <f>COLUMN()-2</f>
        <v/>
      </c>
      <c r="R2" s="15">
        <f>COLUMN()-2</f>
        <v/>
      </c>
      <c r="S2" s="15">
        <f>COLUMN()-2</f>
        <v/>
      </c>
      <c r="T2" s="15">
        <f>COLUMN()-2</f>
        <v/>
      </c>
      <c r="U2" s="15">
        <f>COLUMN()-2</f>
        <v/>
      </c>
      <c r="V2" s="15">
        <f>COLUMN()-2</f>
        <v/>
      </c>
      <c r="W2" s="15">
        <f>COLUMN()-2</f>
        <v/>
      </c>
      <c r="X2" s="15">
        <f>COLUMN()-2</f>
        <v/>
      </c>
      <c r="Y2" s="15">
        <f>COLUMN()-2</f>
        <v/>
      </c>
      <c r="Z2" s="15">
        <f>COLUMN()-2</f>
        <v/>
      </c>
      <c r="AA2" s="15">
        <f>COLUMN()-2</f>
        <v/>
      </c>
      <c r="AB2" s="15">
        <f>COLUMN()-2</f>
        <v/>
      </c>
      <c r="AC2" s="15">
        <f>COLUMN()-2</f>
        <v/>
      </c>
      <c r="AD2" s="15">
        <f>COLUMN()-2</f>
        <v/>
      </c>
      <c r="AE2" s="15">
        <f>COLUMN()-2</f>
        <v/>
      </c>
      <c r="AF2" s="15">
        <f>COLUMN()-2</f>
        <v/>
      </c>
      <c r="AG2" s="15">
        <f>COLUMN()-2</f>
        <v/>
      </c>
      <c r="AH2" s="15">
        <f>COLUMN()-2</f>
        <v/>
      </c>
      <c r="AI2" s="15">
        <f>COLUMN()-2</f>
        <v/>
      </c>
      <c r="AJ2" s="15">
        <f>COLUMN()-2</f>
        <v/>
      </c>
      <c r="AK2" s="15">
        <f>COLUMN()-2</f>
        <v/>
      </c>
      <c r="AL2" s="15">
        <f>COLUMN()-2</f>
        <v/>
      </c>
      <c r="AM2" s="15">
        <f>COLUMN()-2</f>
        <v/>
      </c>
      <c r="AN2" s="15">
        <f>COLUMN()-2</f>
        <v/>
      </c>
      <c r="AO2" s="15">
        <f>COLUMN()-2</f>
        <v/>
      </c>
      <c r="AP2" s="15">
        <f>COLUMN()-2</f>
        <v/>
      </c>
      <c r="AQ2" s="15">
        <f>COLUMN()-2</f>
        <v/>
      </c>
      <c r="AR2" s="15">
        <f>COLUMN()-2</f>
        <v/>
      </c>
      <c r="AS2" s="15">
        <f>COLUMN()-2</f>
        <v/>
      </c>
      <c r="AT2" s="15">
        <f>COLUMN()-2</f>
        <v/>
      </c>
      <c r="AU2" s="15">
        <f>COLUMN()-2</f>
        <v/>
      </c>
      <c r="AV2" s="15">
        <f>COLUMN()-2</f>
        <v/>
      </c>
      <c r="AW2" s="15">
        <f>COLUMN()-2</f>
        <v/>
      </c>
      <c r="AX2" s="15">
        <f>COLUMN()-2</f>
        <v/>
      </c>
      <c r="AY2" s="15">
        <f>COLUMN()-2</f>
        <v/>
      </c>
      <c r="AZ2" s="15">
        <f>COLUMN()-2</f>
        <v/>
      </c>
      <c r="BA2" s="15">
        <f>COLUMN()-2</f>
        <v/>
      </c>
      <c r="BB2" s="15">
        <f>COLUMN()-2</f>
        <v/>
      </c>
      <c r="BC2" s="15">
        <f>COLUMN()-2</f>
        <v/>
      </c>
      <c r="BD2" s="15">
        <f>COLUMN()-2</f>
        <v/>
      </c>
      <c r="BE2" s="15">
        <f>COLUMN()-2</f>
        <v/>
      </c>
      <c r="BF2" s="15">
        <f>COLUMN()-2</f>
        <v/>
      </c>
      <c r="BG2" s="15">
        <f>COLUMN()-2</f>
        <v/>
      </c>
      <c r="BH2" s="15">
        <f>COLUMN()-2</f>
        <v/>
      </c>
      <c r="BI2" s="15">
        <f>COLUMN()-2</f>
        <v/>
      </c>
      <c r="BJ2" s="15">
        <f>COLUMN()-2</f>
        <v/>
      </c>
      <c r="BK2" s="15">
        <f>COLUMN()-2</f>
        <v/>
      </c>
      <c r="BL2" s="15">
        <f>COLUMN()-2</f>
        <v/>
      </c>
      <c r="BM2" s="15">
        <f>COLUMN()-2</f>
        <v/>
      </c>
      <c r="BN2" s="15">
        <f>COLUMN()-2</f>
        <v/>
      </c>
      <c r="BO2" s="15">
        <f>COLUMN()-2</f>
        <v/>
      </c>
      <c r="BP2" s="15">
        <f>COLUMN()-2</f>
        <v/>
      </c>
      <c r="BQ2" s="15">
        <f>COLUMN()-2</f>
        <v/>
      </c>
      <c r="BR2" s="15">
        <f>COLUMN()-2</f>
        <v/>
      </c>
      <c r="BS2" s="15">
        <f>COLUMN()-2</f>
        <v/>
      </c>
      <c r="BT2" s="15">
        <f>COLUMN()-2</f>
        <v/>
      </c>
      <c r="BU2" s="15">
        <f>COLUMN()-2</f>
        <v/>
      </c>
      <c r="BV2" s="15">
        <f>COLUMN()-2</f>
        <v/>
      </c>
      <c r="BW2" s="15">
        <f>COLUMN()-2</f>
        <v/>
      </c>
      <c r="BX2" s="15">
        <f>COLUMN()-2</f>
        <v/>
      </c>
      <c r="BY2" s="15">
        <f>COLUMN()-2</f>
        <v/>
      </c>
      <c r="BZ2" s="15">
        <f>COLUMN()-2</f>
        <v/>
      </c>
      <c r="CA2" s="15">
        <f>COLUMN()-2</f>
        <v/>
      </c>
      <c r="CB2" s="15">
        <f>COLUMN()-2</f>
        <v/>
      </c>
      <c r="CC2" s="15">
        <f>COLUMN()-2</f>
        <v/>
      </c>
      <c r="CD2" s="15">
        <f>COLUMN()-2</f>
        <v/>
      </c>
      <c r="CE2" s="15">
        <f>COLUMN()-2</f>
        <v/>
      </c>
      <c r="CF2" s="15">
        <f>COLUMN()-2</f>
        <v/>
      </c>
      <c r="CG2" s="15">
        <f>COLUMN()-2</f>
        <v/>
      </c>
      <c r="CH2" s="15">
        <f>COLUMN()-2</f>
        <v/>
      </c>
    </row>
    <row r="3">
      <c r="A3" s="3" t="inlineStr">
        <is>
          <t>Date</t>
        </is>
      </c>
      <c r="B3" t="inlineStr">
        <is>
          <t>month-end</t>
        </is>
      </c>
      <c r="C3" s="11">
        <f>EOMONTH(DATE(2026,1,1),C2-1)</f>
        <v/>
      </c>
      <c r="D3" s="11">
        <f>EOMONTH(DATE(2026,1,1),D2-1)</f>
        <v/>
      </c>
      <c r="E3" s="11">
        <f>EOMONTH(DATE(2026,1,1),E2-1)</f>
        <v/>
      </c>
      <c r="F3" s="11">
        <f>EOMONTH(DATE(2026,1,1),F2-1)</f>
        <v/>
      </c>
      <c r="G3" s="11">
        <f>EOMONTH(DATE(2026,1,1),G2-1)</f>
        <v/>
      </c>
      <c r="H3" s="11">
        <f>EOMONTH(DATE(2026,1,1),H2-1)</f>
        <v/>
      </c>
      <c r="I3" s="11">
        <f>EOMONTH(DATE(2026,1,1),I2-1)</f>
        <v/>
      </c>
      <c r="J3" s="11">
        <f>EOMONTH(DATE(2026,1,1),J2-1)</f>
        <v/>
      </c>
      <c r="K3" s="11">
        <f>EOMONTH(DATE(2026,1,1),K2-1)</f>
        <v/>
      </c>
      <c r="L3" s="11">
        <f>EOMONTH(DATE(2026,1,1),L2-1)</f>
        <v/>
      </c>
      <c r="M3" s="11">
        <f>EOMONTH(DATE(2026,1,1),M2-1)</f>
        <v/>
      </c>
      <c r="N3" s="11">
        <f>EOMONTH(DATE(2026,1,1),N2-1)</f>
        <v/>
      </c>
      <c r="O3" s="11">
        <f>EOMONTH(DATE(2026,1,1),O2-1)</f>
        <v/>
      </c>
      <c r="P3" s="11">
        <f>EOMONTH(DATE(2026,1,1),P2-1)</f>
        <v/>
      </c>
      <c r="Q3" s="11">
        <f>EOMONTH(DATE(2026,1,1),Q2-1)</f>
        <v/>
      </c>
      <c r="R3" s="11">
        <f>EOMONTH(DATE(2026,1,1),R2-1)</f>
        <v/>
      </c>
      <c r="S3" s="11">
        <f>EOMONTH(DATE(2026,1,1),S2-1)</f>
        <v/>
      </c>
      <c r="T3" s="11">
        <f>EOMONTH(DATE(2026,1,1),T2-1)</f>
        <v/>
      </c>
      <c r="U3" s="11">
        <f>EOMONTH(DATE(2026,1,1),U2-1)</f>
        <v/>
      </c>
      <c r="V3" s="11">
        <f>EOMONTH(DATE(2026,1,1),V2-1)</f>
        <v/>
      </c>
      <c r="W3" s="11">
        <f>EOMONTH(DATE(2026,1,1),W2-1)</f>
        <v/>
      </c>
      <c r="X3" s="11">
        <f>EOMONTH(DATE(2026,1,1),X2-1)</f>
        <v/>
      </c>
      <c r="Y3" s="11">
        <f>EOMONTH(DATE(2026,1,1),Y2-1)</f>
        <v/>
      </c>
      <c r="Z3" s="11">
        <f>EOMONTH(DATE(2026,1,1),Z2-1)</f>
        <v/>
      </c>
      <c r="AA3" s="11">
        <f>EOMONTH(DATE(2026,1,1),AA2-1)</f>
        <v/>
      </c>
      <c r="AB3" s="11">
        <f>EOMONTH(DATE(2026,1,1),AB2-1)</f>
        <v/>
      </c>
      <c r="AC3" s="11">
        <f>EOMONTH(DATE(2026,1,1),AC2-1)</f>
        <v/>
      </c>
      <c r="AD3" s="11">
        <f>EOMONTH(DATE(2026,1,1),AD2-1)</f>
        <v/>
      </c>
      <c r="AE3" s="11">
        <f>EOMONTH(DATE(2026,1,1),AE2-1)</f>
        <v/>
      </c>
      <c r="AF3" s="11">
        <f>EOMONTH(DATE(2026,1,1),AF2-1)</f>
        <v/>
      </c>
      <c r="AG3" s="11">
        <f>EOMONTH(DATE(2026,1,1),AG2-1)</f>
        <v/>
      </c>
      <c r="AH3" s="11">
        <f>EOMONTH(DATE(2026,1,1),AH2-1)</f>
        <v/>
      </c>
      <c r="AI3" s="11">
        <f>EOMONTH(DATE(2026,1,1),AI2-1)</f>
        <v/>
      </c>
      <c r="AJ3" s="11">
        <f>EOMONTH(DATE(2026,1,1),AJ2-1)</f>
        <v/>
      </c>
      <c r="AK3" s="11">
        <f>EOMONTH(DATE(2026,1,1),AK2-1)</f>
        <v/>
      </c>
      <c r="AL3" s="11">
        <f>EOMONTH(DATE(2026,1,1),AL2-1)</f>
        <v/>
      </c>
      <c r="AM3" s="11">
        <f>EOMONTH(DATE(2026,1,1),AM2-1)</f>
        <v/>
      </c>
      <c r="AN3" s="11">
        <f>EOMONTH(DATE(2026,1,1),AN2-1)</f>
        <v/>
      </c>
      <c r="AO3" s="11">
        <f>EOMONTH(DATE(2026,1,1),AO2-1)</f>
        <v/>
      </c>
      <c r="AP3" s="11">
        <f>EOMONTH(DATE(2026,1,1),AP2-1)</f>
        <v/>
      </c>
      <c r="AQ3" s="11">
        <f>EOMONTH(DATE(2026,1,1),AQ2-1)</f>
        <v/>
      </c>
      <c r="AR3" s="11">
        <f>EOMONTH(DATE(2026,1,1),AR2-1)</f>
        <v/>
      </c>
      <c r="AS3" s="11">
        <f>EOMONTH(DATE(2026,1,1),AS2-1)</f>
        <v/>
      </c>
      <c r="AT3" s="11">
        <f>EOMONTH(DATE(2026,1,1),AT2-1)</f>
        <v/>
      </c>
      <c r="AU3" s="11">
        <f>EOMONTH(DATE(2026,1,1),AU2-1)</f>
        <v/>
      </c>
      <c r="AV3" s="11">
        <f>EOMONTH(DATE(2026,1,1),AV2-1)</f>
        <v/>
      </c>
      <c r="AW3" s="11">
        <f>EOMONTH(DATE(2026,1,1),AW2-1)</f>
        <v/>
      </c>
      <c r="AX3" s="11">
        <f>EOMONTH(DATE(2026,1,1),AX2-1)</f>
        <v/>
      </c>
      <c r="AY3" s="11">
        <f>EOMONTH(DATE(2026,1,1),AY2-1)</f>
        <v/>
      </c>
      <c r="AZ3" s="11">
        <f>EOMONTH(DATE(2026,1,1),AZ2-1)</f>
        <v/>
      </c>
      <c r="BA3" s="11">
        <f>EOMONTH(DATE(2026,1,1),BA2-1)</f>
        <v/>
      </c>
      <c r="BB3" s="11">
        <f>EOMONTH(DATE(2026,1,1),BB2-1)</f>
        <v/>
      </c>
      <c r="BC3" s="11">
        <f>EOMONTH(DATE(2026,1,1),BC2-1)</f>
        <v/>
      </c>
      <c r="BD3" s="11">
        <f>EOMONTH(DATE(2026,1,1),BD2-1)</f>
        <v/>
      </c>
      <c r="BE3" s="11">
        <f>EOMONTH(DATE(2026,1,1),BE2-1)</f>
        <v/>
      </c>
      <c r="BF3" s="11">
        <f>EOMONTH(DATE(2026,1,1),BF2-1)</f>
        <v/>
      </c>
      <c r="BG3" s="11">
        <f>EOMONTH(DATE(2026,1,1),BG2-1)</f>
        <v/>
      </c>
      <c r="BH3" s="11">
        <f>EOMONTH(DATE(2026,1,1),BH2-1)</f>
        <v/>
      </c>
      <c r="BI3" s="11">
        <f>EOMONTH(DATE(2026,1,1),BI2-1)</f>
        <v/>
      </c>
      <c r="BJ3" s="11">
        <f>EOMONTH(DATE(2026,1,1),BJ2-1)</f>
        <v/>
      </c>
      <c r="BK3" s="11">
        <f>EOMONTH(DATE(2026,1,1),BK2-1)</f>
        <v/>
      </c>
      <c r="BL3" s="11">
        <f>EOMONTH(DATE(2026,1,1),BL2-1)</f>
        <v/>
      </c>
      <c r="BM3" s="11">
        <f>EOMONTH(DATE(2026,1,1),BM2-1)</f>
        <v/>
      </c>
      <c r="BN3" s="11">
        <f>EOMONTH(DATE(2026,1,1),BN2-1)</f>
        <v/>
      </c>
      <c r="BO3" s="11">
        <f>EOMONTH(DATE(2026,1,1),BO2-1)</f>
        <v/>
      </c>
      <c r="BP3" s="11">
        <f>EOMONTH(DATE(2026,1,1),BP2-1)</f>
        <v/>
      </c>
      <c r="BQ3" s="11">
        <f>EOMONTH(DATE(2026,1,1),BQ2-1)</f>
        <v/>
      </c>
      <c r="BR3" s="11">
        <f>EOMONTH(DATE(2026,1,1),BR2-1)</f>
        <v/>
      </c>
      <c r="BS3" s="11">
        <f>EOMONTH(DATE(2026,1,1),BS2-1)</f>
        <v/>
      </c>
      <c r="BT3" s="11">
        <f>EOMONTH(DATE(2026,1,1),BT2-1)</f>
        <v/>
      </c>
      <c r="BU3" s="11">
        <f>EOMONTH(DATE(2026,1,1),BU2-1)</f>
        <v/>
      </c>
      <c r="BV3" s="11">
        <f>EOMONTH(DATE(2026,1,1),BV2-1)</f>
        <v/>
      </c>
      <c r="BW3" s="11">
        <f>EOMONTH(DATE(2026,1,1),BW2-1)</f>
        <v/>
      </c>
      <c r="BX3" s="11">
        <f>EOMONTH(DATE(2026,1,1),BX2-1)</f>
        <v/>
      </c>
      <c r="BY3" s="11">
        <f>EOMONTH(DATE(2026,1,1),BY2-1)</f>
        <v/>
      </c>
      <c r="BZ3" s="11">
        <f>EOMONTH(DATE(2026,1,1),BZ2-1)</f>
        <v/>
      </c>
      <c r="CA3" s="11">
        <f>EOMONTH(DATE(2026,1,1),CA2-1)</f>
        <v/>
      </c>
      <c r="CB3" s="11">
        <f>EOMONTH(DATE(2026,1,1),CB2-1)</f>
        <v/>
      </c>
      <c r="CC3" s="11">
        <f>EOMONTH(DATE(2026,1,1),CC2-1)</f>
        <v/>
      </c>
      <c r="CD3" s="11">
        <f>EOMONTH(DATE(2026,1,1),CD2-1)</f>
        <v/>
      </c>
      <c r="CE3" s="11">
        <f>EOMONTH(DATE(2026,1,1),CE2-1)</f>
        <v/>
      </c>
      <c r="CF3" s="11">
        <f>EOMONTH(DATE(2026,1,1),CF2-1)</f>
        <v/>
      </c>
      <c r="CG3" s="11">
        <f>EOMONTH(DATE(2026,1,1),CG2-1)</f>
        <v/>
      </c>
      <c r="CH3" s="11">
        <f>EOMONTH(DATE(2026,1,1),CH2-1)</f>
        <v/>
      </c>
    </row>
    <row r="4">
      <c r="A4" s="3" t="inlineStr">
        <is>
          <t>Permanent loan active</t>
        </is>
      </c>
      <c r="B4" s="4" t="inlineStr">
        <is>
          <t>1/0</t>
        </is>
      </c>
      <c r="C4" s="10">
        <f>IF(AND(C2&gt;=PERM_CONV_M,C2&lt;=EXIT_M),1,0)</f>
        <v/>
      </c>
      <c r="D4" s="10">
        <f>IF(AND(D2&gt;=PERM_CONV_M,D2&lt;=EXIT_M),1,0)</f>
        <v/>
      </c>
      <c r="E4" s="10">
        <f>IF(AND(E2&gt;=PERM_CONV_M,E2&lt;=EXIT_M),1,0)</f>
        <v/>
      </c>
      <c r="F4" s="10">
        <f>IF(AND(F2&gt;=PERM_CONV_M,F2&lt;=EXIT_M),1,0)</f>
        <v/>
      </c>
      <c r="G4" s="10">
        <f>IF(AND(G2&gt;=PERM_CONV_M,G2&lt;=EXIT_M),1,0)</f>
        <v/>
      </c>
      <c r="H4" s="10">
        <f>IF(AND(H2&gt;=PERM_CONV_M,H2&lt;=EXIT_M),1,0)</f>
        <v/>
      </c>
      <c r="I4" s="10">
        <f>IF(AND(I2&gt;=PERM_CONV_M,I2&lt;=EXIT_M),1,0)</f>
        <v/>
      </c>
      <c r="J4" s="10">
        <f>IF(AND(J2&gt;=PERM_CONV_M,J2&lt;=EXIT_M),1,0)</f>
        <v/>
      </c>
      <c r="K4" s="10">
        <f>IF(AND(K2&gt;=PERM_CONV_M,K2&lt;=EXIT_M),1,0)</f>
        <v/>
      </c>
      <c r="L4" s="10">
        <f>IF(AND(L2&gt;=PERM_CONV_M,L2&lt;=EXIT_M),1,0)</f>
        <v/>
      </c>
      <c r="M4" s="10">
        <f>IF(AND(M2&gt;=PERM_CONV_M,M2&lt;=EXIT_M),1,0)</f>
        <v/>
      </c>
      <c r="N4" s="10">
        <f>IF(AND(N2&gt;=PERM_CONV_M,N2&lt;=EXIT_M),1,0)</f>
        <v/>
      </c>
      <c r="O4" s="10">
        <f>IF(AND(O2&gt;=PERM_CONV_M,O2&lt;=EXIT_M),1,0)</f>
        <v/>
      </c>
      <c r="P4" s="10">
        <f>IF(AND(P2&gt;=PERM_CONV_M,P2&lt;=EXIT_M),1,0)</f>
        <v/>
      </c>
      <c r="Q4" s="10">
        <f>IF(AND(Q2&gt;=PERM_CONV_M,Q2&lt;=EXIT_M),1,0)</f>
        <v/>
      </c>
      <c r="R4" s="10">
        <f>IF(AND(R2&gt;=PERM_CONV_M,R2&lt;=EXIT_M),1,0)</f>
        <v/>
      </c>
      <c r="S4" s="10">
        <f>IF(AND(S2&gt;=PERM_CONV_M,S2&lt;=EXIT_M),1,0)</f>
        <v/>
      </c>
      <c r="T4" s="10">
        <f>IF(AND(T2&gt;=PERM_CONV_M,T2&lt;=EXIT_M),1,0)</f>
        <v/>
      </c>
      <c r="U4" s="10">
        <f>IF(AND(U2&gt;=PERM_CONV_M,U2&lt;=EXIT_M),1,0)</f>
        <v/>
      </c>
      <c r="V4" s="10">
        <f>IF(AND(V2&gt;=PERM_CONV_M,V2&lt;=EXIT_M),1,0)</f>
        <v/>
      </c>
      <c r="W4" s="10">
        <f>IF(AND(W2&gt;=PERM_CONV_M,W2&lt;=EXIT_M),1,0)</f>
        <v/>
      </c>
      <c r="X4" s="10">
        <f>IF(AND(X2&gt;=PERM_CONV_M,X2&lt;=EXIT_M),1,0)</f>
        <v/>
      </c>
      <c r="Y4" s="10">
        <f>IF(AND(Y2&gt;=PERM_CONV_M,Y2&lt;=EXIT_M),1,0)</f>
        <v/>
      </c>
      <c r="Z4" s="10">
        <f>IF(AND(Z2&gt;=PERM_CONV_M,Z2&lt;=EXIT_M),1,0)</f>
        <v/>
      </c>
      <c r="AA4" s="10">
        <f>IF(AND(AA2&gt;=PERM_CONV_M,AA2&lt;=EXIT_M),1,0)</f>
        <v/>
      </c>
      <c r="AB4" s="10">
        <f>IF(AND(AB2&gt;=PERM_CONV_M,AB2&lt;=EXIT_M),1,0)</f>
        <v/>
      </c>
      <c r="AC4" s="10">
        <f>IF(AND(AC2&gt;=PERM_CONV_M,AC2&lt;=EXIT_M),1,0)</f>
        <v/>
      </c>
      <c r="AD4" s="10">
        <f>IF(AND(AD2&gt;=PERM_CONV_M,AD2&lt;=EXIT_M),1,0)</f>
        <v/>
      </c>
      <c r="AE4" s="10">
        <f>IF(AND(AE2&gt;=PERM_CONV_M,AE2&lt;=EXIT_M),1,0)</f>
        <v/>
      </c>
      <c r="AF4" s="10">
        <f>IF(AND(AF2&gt;=PERM_CONV_M,AF2&lt;=EXIT_M),1,0)</f>
        <v/>
      </c>
      <c r="AG4" s="10">
        <f>IF(AND(AG2&gt;=PERM_CONV_M,AG2&lt;=EXIT_M),1,0)</f>
        <v/>
      </c>
      <c r="AH4" s="10">
        <f>IF(AND(AH2&gt;=PERM_CONV_M,AH2&lt;=EXIT_M),1,0)</f>
        <v/>
      </c>
      <c r="AI4" s="10">
        <f>IF(AND(AI2&gt;=PERM_CONV_M,AI2&lt;=EXIT_M),1,0)</f>
        <v/>
      </c>
      <c r="AJ4" s="10">
        <f>IF(AND(AJ2&gt;=PERM_CONV_M,AJ2&lt;=EXIT_M),1,0)</f>
        <v/>
      </c>
      <c r="AK4" s="10">
        <f>IF(AND(AK2&gt;=PERM_CONV_M,AK2&lt;=EXIT_M),1,0)</f>
        <v/>
      </c>
      <c r="AL4" s="10">
        <f>IF(AND(AL2&gt;=PERM_CONV_M,AL2&lt;=EXIT_M),1,0)</f>
        <v/>
      </c>
      <c r="AM4" s="10">
        <f>IF(AND(AM2&gt;=PERM_CONV_M,AM2&lt;=EXIT_M),1,0)</f>
        <v/>
      </c>
      <c r="AN4" s="10">
        <f>IF(AND(AN2&gt;=PERM_CONV_M,AN2&lt;=EXIT_M),1,0)</f>
        <v/>
      </c>
      <c r="AO4" s="10">
        <f>IF(AND(AO2&gt;=PERM_CONV_M,AO2&lt;=EXIT_M),1,0)</f>
        <v/>
      </c>
      <c r="AP4" s="10">
        <f>IF(AND(AP2&gt;=PERM_CONV_M,AP2&lt;=EXIT_M),1,0)</f>
        <v/>
      </c>
      <c r="AQ4" s="10">
        <f>IF(AND(AQ2&gt;=PERM_CONV_M,AQ2&lt;=EXIT_M),1,0)</f>
        <v/>
      </c>
      <c r="AR4" s="10">
        <f>IF(AND(AR2&gt;=PERM_CONV_M,AR2&lt;=EXIT_M),1,0)</f>
        <v/>
      </c>
      <c r="AS4" s="10">
        <f>IF(AND(AS2&gt;=PERM_CONV_M,AS2&lt;=EXIT_M),1,0)</f>
        <v/>
      </c>
      <c r="AT4" s="10">
        <f>IF(AND(AT2&gt;=PERM_CONV_M,AT2&lt;=EXIT_M),1,0)</f>
        <v/>
      </c>
      <c r="AU4" s="10">
        <f>IF(AND(AU2&gt;=PERM_CONV_M,AU2&lt;=EXIT_M),1,0)</f>
        <v/>
      </c>
      <c r="AV4" s="10">
        <f>IF(AND(AV2&gt;=PERM_CONV_M,AV2&lt;=EXIT_M),1,0)</f>
        <v/>
      </c>
      <c r="AW4" s="10">
        <f>IF(AND(AW2&gt;=PERM_CONV_M,AW2&lt;=EXIT_M),1,0)</f>
        <v/>
      </c>
      <c r="AX4" s="10">
        <f>IF(AND(AX2&gt;=PERM_CONV_M,AX2&lt;=EXIT_M),1,0)</f>
        <v/>
      </c>
      <c r="AY4" s="10">
        <f>IF(AND(AY2&gt;=PERM_CONV_M,AY2&lt;=EXIT_M),1,0)</f>
        <v/>
      </c>
      <c r="AZ4" s="10">
        <f>IF(AND(AZ2&gt;=PERM_CONV_M,AZ2&lt;=EXIT_M),1,0)</f>
        <v/>
      </c>
      <c r="BA4" s="10">
        <f>IF(AND(BA2&gt;=PERM_CONV_M,BA2&lt;=EXIT_M),1,0)</f>
        <v/>
      </c>
      <c r="BB4" s="10">
        <f>IF(AND(BB2&gt;=PERM_CONV_M,BB2&lt;=EXIT_M),1,0)</f>
        <v/>
      </c>
      <c r="BC4" s="10">
        <f>IF(AND(BC2&gt;=PERM_CONV_M,BC2&lt;=EXIT_M),1,0)</f>
        <v/>
      </c>
      <c r="BD4" s="10">
        <f>IF(AND(BD2&gt;=PERM_CONV_M,BD2&lt;=EXIT_M),1,0)</f>
        <v/>
      </c>
      <c r="BE4" s="10">
        <f>IF(AND(BE2&gt;=PERM_CONV_M,BE2&lt;=EXIT_M),1,0)</f>
        <v/>
      </c>
      <c r="BF4" s="10">
        <f>IF(AND(BF2&gt;=PERM_CONV_M,BF2&lt;=EXIT_M),1,0)</f>
        <v/>
      </c>
      <c r="BG4" s="10">
        <f>IF(AND(BG2&gt;=PERM_CONV_M,BG2&lt;=EXIT_M),1,0)</f>
        <v/>
      </c>
      <c r="BH4" s="10">
        <f>IF(AND(BH2&gt;=PERM_CONV_M,BH2&lt;=EXIT_M),1,0)</f>
        <v/>
      </c>
      <c r="BI4" s="10">
        <f>IF(AND(BI2&gt;=PERM_CONV_M,BI2&lt;=EXIT_M),1,0)</f>
        <v/>
      </c>
      <c r="BJ4" s="10">
        <f>IF(AND(BJ2&gt;=PERM_CONV_M,BJ2&lt;=EXIT_M),1,0)</f>
        <v/>
      </c>
      <c r="BK4" s="10">
        <f>IF(AND(BK2&gt;=PERM_CONV_M,BK2&lt;=EXIT_M),1,0)</f>
        <v/>
      </c>
      <c r="BL4" s="10">
        <f>IF(AND(BL2&gt;=PERM_CONV_M,BL2&lt;=EXIT_M),1,0)</f>
        <v/>
      </c>
      <c r="BM4" s="10">
        <f>IF(AND(BM2&gt;=PERM_CONV_M,BM2&lt;=EXIT_M),1,0)</f>
        <v/>
      </c>
      <c r="BN4" s="10">
        <f>IF(AND(BN2&gt;=PERM_CONV_M,BN2&lt;=EXIT_M),1,0)</f>
        <v/>
      </c>
      <c r="BO4" s="10">
        <f>IF(AND(BO2&gt;=PERM_CONV_M,BO2&lt;=EXIT_M),1,0)</f>
        <v/>
      </c>
      <c r="BP4" s="10">
        <f>IF(AND(BP2&gt;=PERM_CONV_M,BP2&lt;=EXIT_M),1,0)</f>
        <v/>
      </c>
      <c r="BQ4" s="10">
        <f>IF(AND(BQ2&gt;=PERM_CONV_M,BQ2&lt;=EXIT_M),1,0)</f>
        <v/>
      </c>
      <c r="BR4" s="10">
        <f>IF(AND(BR2&gt;=PERM_CONV_M,BR2&lt;=EXIT_M),1,0)</f>
        <v/>
      </c>
      <c r="BS4" s="10">
        <f>IF(AND(BS2&gt;=PERM_CONV_M,BS2&lt;=EXIT_M),1,0)</f>
        <v/>
      </c>
      <c r="BT4" s="10">
        <f>IF(AND(BT2&gt;=PERM_CONV_M,BT2&lt;=EXIT_M),1,0)</f>
        <v/>
      </c>
      <c r="BU4" s="10">
        <f>IF(AND(BU2&gt;=PERM_CONV_M,BU2&lt;=EXIT_M),1,0)</f>
        <v/>
      </c>
      <c r="BV4" s="10">
        <f>IF(AND(BV2&gt;=PERM_CONV_M,BV2&lt;=EXIT_M),1,0)</f>
        <v/>
      </c>
      <c r="BW4" s="10">
        <f>IF(AND(BW2&gt;=PERM_CONV_M,BW2&lt;=EXIT_M),1,0)</f>
        <v/>
      </c>
      <c r="BX4" s="10">
        <f>IF(AND(BX2&gt;=PERM_CONV_M,BX2&lt;=EXIT_M),1,0)</f>
        <v/>
      </c>
      <c r="BY4" s="10">
        <f>IF(AND(BY2&gt;=PERM_CONV_M,BY2&lt;=EXIT_M),1,0)</f>
        <v/>
      </c>
      <c r="BZ4" s="10">
        <f>IF(AND(BZ2&gt;=PERM_CONV_M,BZ2&lt;=EXIT_M),1,0)</f>
        <v/>
      </c>
      <c r="CA4" s="10">
        <f>IF(AND(CA2&gt;=PERM_CONV_M,CA2&lt;=EXIT_M),1,0)</f>
        <v/>
      </c>
      <c r="CB4" s="10">
        <f>IF(AND(CB2&gt;=PERM_CONV_M,CB2&lt;=EXIT_M),1,0)</f>
        <v/>
      </c>
      <c r="CC4" s="10">
        <f>IF(AND(CC2&gt;=PERM_CONV_M,CC2&lt;=EXIT_M),1,0)</f>
        <v/>
      </c>
      <c r="CD4" s="10">
        <f>IF(AND(CD2&gt;=PERM_CONV_M,CD2&lt;=EXIT_M),1,0)</f>
        <v/>
      </c>
      <c r="CE4" s="10">
        <f>IF(AND(CE2&gt;=PERM_CONV_M,CE2&lt;=EXIT_M),1,0)</f>
        <v/>
      </c>
      <c r="CF4" s="10">
        <f>IF(AND(CF2&gt;=PERM_CONV_M,CF2&lt;=EXIT_M),1,0)</f>
        <v/>
      </c>
      <c r="CG4" s="10">
        <f>IF(AND(CG2&gt;=PERM_CONV_M,CG2&lt;=EXIT_M),1,0)</f>
        <v/>
      </c>
      <c r="CH4" s="10">
        <f>IF(AND(CH2&gt;=PERM_CONV_M,CH2&lt;=EXIT_M),1,0)</f>
        <v/>
      </c>
    </row>
    <row r="5">
      <c r="A5" s="3" t="inlineStr">
        <is>
          <t>Opening balance</t>
        </is>
      </c>
      <c r="B5" s="4" t="inlineStr">
        <is>
          <t>$</t>
        </is>
      </c>
      <c r="C5" s="12">
        <f>IF(C2&lt;PERM_CONV_M,0,IF(C2=PERM_CONV_M,$C$39,0))</f>
        <v/>
      </c>
      <c r="D5" s="12">
        <f>IF(D2&lt;PERM_CONV_M,0,IF(D2=PERM_CONV_M,$C$39,C12))</f>
        <v/>
      </c>
      <c r="E5" s="12">
        <f>IF(E2&lt;PERM_CONV_M,0,IF(E2=PERM_CONV_M,$C$39,D12))</f>
        <v/>
      </c>
      <c r="F5" s="12">
        <f>IF(F2&lt;PERM_CONV_M,0,IF(F2=PERM_CONV_M,$C$39,E12))</f>
        <v/>
      </c>
      <c r="G5" s="12">
        <f>IF(G2&lt;PERM_CONV_M,0,IF(G2=PERM_CONV_M,$C$39,F12))</f>
        <v/>
      </c>
      <c r="H5" s="12">
        <f>IF(H2&lt;PERM_CONV_M,0,IF(H2=PERM_CONV_M,$C$39,G12))</f>
        <v/>
      </c>
      <c r="I5" s="12">
        <f>IF(I2&lt;PERM_CONV_M,0,IF(I2=PERM_CONV_M,$C$39,H12))</f>
        <v/>
      </c>
      <c r="J5" s="12">
        <f>IF(J2&lt;PERM_CONV_M,0,IF(J2=PERM_CONV_M,$C$39,I12))</f>
        <v/>
      </c>
      <c r="K5" s="12">
        <f>IF(K2&lt;PERM_CONV_M,0,IF(K2=PERM_CONV_M,$C$39,J12))</f>
        <v/>
      </c>
      <c r="L5" s="12">
        <f>IF(L2&lt;PERM_CONV_M,0,IF(L2=PERM_CONV_M,$C$39,K12))</f>
        <v/>
      </c>
      <c r="M5" s="12">
        <f>IF(M2&lt;PERM_CONV_M,0,IF(M2=PERM_CONV_M,$C$39,L12))</f>
        <v/>
      </c>
      <c r="N5" s="12">
        <f>IF(N2&lt;PERM_CONV_M,0,IF(N2=PERM_CONV_M,$C$39,M12))</f>
        <v/>
      </c>
      <c r="O5" s="12">
        <f>IF(O2&lt;PERM_CONV_M,0,IF(O2=PERM_CONV_M,$C$39,N12))</f>
        <v/>
      </c>
      <c r="P5" s="12">
        <f>IF(P2&lt;PERM_CONV_M,0,IF(P2=PERM_CONV_M,$C$39,O12))</f>
        <v/>
      </c>
      <c r="Q5" s="12">
        <f>IF(Q2&lt;PERM_CONV_M,0,IF(Q2=PERM_CONV_M,$C$39,P12))</f>
        <v/>
      </c>
      <c r="R5" s="12">
        <f>IF(R2&lt;PERM_CONV_M,0,IF(R2=PERM_CONV_M,$C$39,Q12))</f>
        <v/>
      </c>
      <c r="S5" s="12">
        <f>IF(S2&lt;PERM_CONV_M,0,IF(S2=PERM_CONV_M,$C$39,R12))</f>
        <v/>
      </c>
      <c r="T5" s="12">
        <f>IF(T2&lt;PERM_CONV_M,0,IF(T2=PERM_CONV_M,$C$39,S12))</f>
        <v/>
      </c>
      <c r="U5" s="12">
        <f>IF(U2&lt;PERM_CONV_M,0,IF(U2=PERM_CONV_M,$C$39,T12))</f>
        <v/>
      </c>
      <c r="V5" s="12">
        <f>IF(V2&lt;PERM_CONV_M,0,IF(V2=PERM_CONV_M,$C$39,U12))</f>
        <v/>
      </c>
      <c r="W5" s="12">
        <f>IF(W2&lt;PERM_CONV_M,0,IF(W2=PERM_CONV_M,$C$39,V12))</f>
        <v/>
      </c>
      <c r="X5" s="12">
        <f>IF(X2&lt;PERM_CONV_M,0,IF(X2=PERM_CONV_M,$C$39,W12))</f>
        <v/>
      </c>
      <c r="Y5" s="12">
        <f>IF(Y2&lt;PERM_CONV_M,0,IF(Y2=PERM_CONV_M,$C$39,X12))</f>
        <v/>
      </c>
      <c r="Z5" s="12">
        <f>IF(Z2&lt;PERM_CONV_M,0,IF(Z2=PERM_CONV_M,$C$39,Y12))</f>
        <v/>
      </c>
      <c r="AA5" s="12">
        <f>IF(AA2&lt;PERM_CONV_M,0,IF(AA2=PERM_CONV_M,$C$39,Z12))</f>
        <v/>
      </c>
      <c r="AB5" s="12">
        <f>IF(AB2&lt;PERM_CONV_M,0,IF(AB2=PERM_CONV_M,$C$39,AA12))</f>
        <v/>
      </c>
      <c r="AC5" s="12">
        <f>IF(AC2&lt;PERM_CONV_M,0,IF(AC2=PERM_CONV_M,$C$39,AB12))</f>
        <v/>
      </c>
      <c r="AD5" s="12">
        <f>IF(AD2&lt;PERM_CONV_M,0,IF(AD2=PERM_CONV_M,$C$39,AC12))</f>
        <v/>
      </c>
      <c r="AE5" s="12">
        <f>IF(AE2&lt;PERM_CONV_M,0,IF(AE2=PERM_CONV_M,$C$39,AD12))</f>
        <v/>
      </c>
      <c r="AF5" s="12">
        <f>IF(AF2&lt;PERM_CONV_M,0,IF(AF2=PERM_CONV_M,$C$39,AE12))</f>
        <v/>
      </c>
      <c r="AG5" s="12">
        <f>IF(AG2&lt;PERM_CONV_M,0,IF(AG2=PERM_CONV_M,$C$39,AF12))</f>
        <v/>
      </c>
      <c r="AH5" s="12">
        <f>IF(AH2&lt;PERM_CONV_M,0,IF(AH2=PERM_CONV_M,$C$39,AG12))</f>
        <v/>
      </c>
      <c r="AI5" s="12">
        <f>IF(AI2&lt;PERM_CONV_M,0,IF(AI2=PERM_CONV_M,$C$39,AH12))</f>
        <v/>
      </c>
      <c r="AJ5" s="12">
        <f>IF(AJ2&lt;PERM_CONV_M,0,IF(AJ2=PERM_CONV_M,$C$39,AI12))</f>
        <v/>
      </c>
      <c r="AK5" s="12">
        <f>IF(AK2&lt;PERM_CONV_M,0,IF(AK2=PERM_CONV_M,$C$39,AJ12))</f>
        <v/>
      </c>
      <c r="AL5" s="12">
        <f>IF(AL2&lt;PERM_CONV_M,0,IF(AL2=PERM_CONV_M,$C$39,AK12))</f>
        <v/>
      </c>
      <c r="AM5" s="12">
        <f>IF(AM2&lt;PERM_CONV_M,0,IF(AM2=PERM_CONV_M,$C$39,AL12))</f>
        <v/>
      </c>
      <c r="AN5" s="12">
        <f>IF(AN2&lt;PERM_CONV_M,0,IF(AN2=PERM_CONV_M,$C$39,AM12))</f>
        <v/>
      </c>
      <c r="AO5" s="12">
        <f>IF(AO2&lt;PERM_CONV_M,0,IF(AO2=PERM_CONV_M,$C$39,AN12))</f>
        <v/>
      </c>
      <c r="AP5" s="12">
        <f>IF(AP2&lt;PERM_CONV_M,0,IF(AP2=PERM_CONV_M,$C$39,AO12))</f>
        <v/>
      </c>
      <c r="AQ5" s="12">
        <f>IF(AQ2&lt;PERM_CONV_M,0,IF(AQ2=PERM_CONV_M,$C$39,AP12))</f>
        <v/>
      </c>
      <c r="AR5" s="12">
        <f>IF(AR2&lt;PERM_CONV_M,0,IF(AR2=PERM_CONV_M,$C$39,AQ12))</f>
        <v/>
      </c>
      <c r="AS5" s="12">
        <f>IF(AS2&lt;PERM_CONV_M,0,IF(AS2=PERM_CONV_M,$C$39,AR12))</f>
        <v/>
      </c>
      <c r="AT5" s="12">
        <f>IF(AT2&lt;PERM_CONV_M,0,IF(AT2=PERM_CONV_M,$C$39,AS12))</f>
        <v/>
      </c>
      <c r="AU5" s="12">
        <f>IF(AU2&lt;PERM_CONV_M,0,IF(AU2=PERM_CONV_M,$C$39,AT12))</f>
        <v/>
      </c>
      <c r="AV5" s="12">
        <f>IF(AV2&lt;PERM_CONV_M,0,IF(AV2=PERM_CONV_M,$C$39,AU12))</f>
        <v/>
      </c>
      <c r="AW5" s="12">
        <f>IF(AW2&lt;PERM_CONV_M,0,IF(AW2=PERM_CONV_M,$C$39,AV12))</f>
        <v/>
      </c>
      <c r="AX5" s="12">
        <f>IF(AX2&lt;PERM_CONV_M,0,IF(AX2=PERM_CONV_M,$C$39,AW12))</f>
        <v/>
      </c>
      <c r="AY5" s="12">
        <f>IF(AY2&lt;PERM_CONV_M,0,IF(AY2=PERM_CONV_M,$C$39,AX12))</f>
        <v/>
      </c>
      <c r="AZ5" s="12">
        <f>IF(AZ2&lt;PERM_CONV_M,0,IF(AZ2=PERM_CONV_M,$C$39,AY12))</f>
        <v/>
      </c>
      <c r="BA5" s="12">
        <f>IF(BA2&lt;PERM_CONV_M,0,IF(BA2=PERM_CONV_M,$C$39,AZ12))</f>
        <v/>
      </c>
      <c r="BB5" s="12">
        <f>IF(BB2&lt;PERM_CONV_M,0,IF(BB2=PERM_CONV_M,$C$39,BA12))</f>
        <v/>
      </c>
      <c r="BC5" s="12">
        <f>IF(BC2&lt;PERM_CONV_M,0,IF(BC2=PERM_CONV_M,$C$39,BB12))</f>
        <v/>
      </c>
      <c r="BD5" s="12">
        <f>IF(BD2&lt;PERM_CONV_M,0,IF(BD2=PERM_CONV_M,$C$39,BC12))</f>
        <v/>
      </c>
      <c r="BE5" s="12">
        <f>IF(BE2&lt;PERM_CONV_M,0,IF(BE2=PERM_CONV_M,$C$39,BD12))</f>
        <v/>
      </c>
      <c r="BF5" s="12">
        <f>IF(BF2&lt;PERM_CONV_M,0,IF(BF2=PERM_CONV_M,$C$39,BE12))</f>
        <v/>
      </c>
      <c r="BG5" s="12">
        <f>IF(BG2&lt;PERM_CONV_M,0,IF(BG2=PERM_CONV_M,$C$39,BF12))</f>
        <v/>
      </c>
      <c r="BH5" s="12">
        <f>IF(BH2&lt;PERM_CONV_M,0,IF(BH2=PERM_CONV_M,$C$39,BG12))</f>
        <v/>
      </c>
      <c r="BI5" s="12">
        <f>IF(BI2&lt;PERM_CONV_M,0,IF(BI2=PERM_CONV_M,$C$39,BH12))</f>
        <v/>
      </c>
      <c r="BJ5" s="12">
        <f>IF(BJ2&lt;PERM_CONV_M,0,IF(BJ2=PERM_CONV_M,$C$39,BI12))</f>
        <v/>
      </c>
      <c r="BK5" s="12">
        <f>IF(BK2&lt;PERM_CONV_M,0,IF(BK2=PERM_CONV_M,$C$39,BJ12))</f>
        <v/>
      </c>
      <c r="BL5" s="12">
        <f>IF(BL2&lt;PERM_CONV_M,0,IF(BL2=PERM_CONV_M,$C$39,BK12))</f>
        <v/>
      </c>
      <c r="BM5" s="12">
        <f>IF(BM2&lt;PERM_CONV_M,0,IF(BM2=PERM_CONV_M,$C$39,BL12))</f>
        <v/>
      </c>
      <c r="BN5" s="12">
        <f>IF(BN2&lt;PERM_CONV_M,0,IF(BN2=PERM_CONV_M,$C$39,BM12))</f>
        <v/>
      </c>
      <c r="BO5" s="12">
        <f>IF(BO2&lt;PERM_CONV_M,0,IF(BO2=PERM_CONV_M,$C$39,BN12))</f>
        <v/>
      </c>
      <c r="BP5" s="12">
        <f>IF(BP2&lt;PERM_CONV_M,0,IF(BP2=PERM_CONV_M,$C$39,BO12))</f>
        <v/>
      </c>
      <c r="BQ5" s="12">
        <f>IF(BQ2&lt;PERM_CONV_M,0,IF(BQ2=PERM_CONV_M,$C$39,BP12))</f>
        <v/>
      </c>
      <c r="BR5" s="12">
        <f>IF(BR2&lt;PERM_CONV_M,0,IF(BR2=PERM_CONV_M,$C$39,BQ12))</f>
        <v/>
      </c>
      <c r="BS5" s="12">
        <f>IF(BS2&lt;PERM_CONV_M,0,IF(BS2=PERM_CONV_M,$C$39,BR12))</f>
        <v/>
      </c>
      <c r="BT5" s="12">
        <f>IF(BT2&lt;PERM_CONV_M,0,IF(BT2=PERM_CONV_M,$C$39,BS12))</f>
        <v/>
      </c>
      <c r="BU5" s="12">
        <f>IF(BU2&lt;PERM_CONV_M,0,IF(BU2=PERM_CONV_M,$C$39,BT12))</f>
        <v/>
      </c>
      <c r="BV5" s="12">
        <f>IF(BV2&lt;PERM_CONV_M,0,IF(BV2=PERM_CONV_M,$C$39,BU12))</f>
        <v/>
      </c>
      <c r="BW5" s="12">
        <f>IF(BW2&lt;PERM_CONV_M,0,IF(BW2=PERM_CONV_M,$C$39,BV12))</f>
        <v/>
      </c>
      <c r="BX5" s="12">
        <f>IF(BX2&lt;PERM_CONV_M,0,IF(BX2=PERM_CONV_M,$C$39,BW12))</f>
        <v/>
      </c>
      <c r="BY5" s="12">
        <f>IF(BY2&lt;PERM_CONV_M,0,IF(BY2=PERM_CONV_M,$C$39,BX12))</f>
        <v/>
      </c>
      <c r="BZ5" s="12">
        <f>IF(BZ2&lt;PERM_CONV_M,0,IF(BZ2=PERM_CONV_M,$C$39,BY12))</f>
        <v/>
      </c>
      <c r="CA5" s="12">
        <f>IF(CA2&lt;PERM_CONV_M,0,IF(CA2=PERM_CONV_M,$C$39,BZ12))</f>
        <v/>
      </c>
      <c r="CB5" s="12">
        <f>IF(CB2&lt;PERM_CONV_M,0,IF(CB2=PERM_CONV_M,$C$39,CA12))</f>
        <v/>
      </c>
      <c r="CC5" s="12">
        <f>IF(CC2&lt;PERM_CONV_M,0,IF(CC2=PERM_CONV_M,$C$39,CB12))</f>
        <v/>
      </c>
      <c r="CD5" s="12">
        <f>IF(CD2&lt;PERM_CONV_M,0,IF(CD2=PERM_CONV_M,$C$39,CC12))</f>
        <v/>
      </c>
      <c r="CE5" s="12">
        <f>IF(CE2&lt;PERM_CONV_M,0,IF(CE2=PERM_CONV_M,$C$39,CD12))</f>
        <v/>
      </c>
      <c r="CF5" s="12">
        <f>IF(CF2&lt;PERM_CONV_M,0,IF(CF2=PERM_CONV_M,$C$39,CE12))</f>
        <v/>
      </c>
      <c r="CG5" s="12">
        <f>IF(CG2&lt;PERM_CONV_M,0,IF(CG2=PERM_CONV_M,$C$39,CF12))</f>
        <v/>
      </c>
      <c r="CH5" s="12">
        <f>IF(CH2&lt;PERM_CONV_M,0,IF(CH2=PERM_CONV_M,$C$39,CG12))</f>
        <v/>
      </c>
    </row>
    <row r="6">
      <c r="A6" s="3" t="inlineStr">
        <is>
          <t>Interest on opening balance</t>
        </is>
      </c>
      <c r="B6" s="4" t="inlineStr">
        <is>
          <t>$</t>
        </is>
      </c>
      <c r="C6" s="12">
        <f>C5*PERM_RATE_PCT/12</f>
        <v/>
      </c>
      <c r="D6" s="12">
        <f>D5*PERM_RATE_PCT/12</f>
        <v/>
      </c>
      <c r="E6" s="12">
        <f>E5*PERM_RATE_PCT/12</f>
        <v/>
      </c>
      <c r="F6" s="12">
        <f>F5*PERM_RATE_PCT/12</f>
        <v/>
      </c>
      <c r="G6" s="12">
        <f>G5*PERM_RATE_PCT/12</f>
        <v/>
      </c>
      <c r="H6" s="12">
        <f>H5*PERM_RATE_PCT/12</f>
        <v/>
      </c>
      <c r="I6" s="12">
        <f>I5*PERM_RATE_PCT/12</f>
        <v/>
      </c>
      <c r="J6" s="12">
        <f>J5*PERM_RATE_PCT/12</f>
        <v/>
      </c>
      <c r="K6" s="12">
        <f>K5*PERM_RATE_PCT/12</f>
        <v/>
      </c>
      <c r="L6" s="12">
        <f>L5*PERM_RATE_PCT/12</f>
        <v/>
      </c>
      <c r="M6" s="12">
        <f>M5*PERM_RATE_PCT/12</f>
        <v/>
      </c>
      <c r="N6" s="12">
        <f>N5*PERM_RATE_PCT/12</f>
        <v/>
      </c>
      <c r="O6" s="12">
        <f>O5*PERM_RATE_PCT/12</f>
        <v/>
      </c>
      <c r="P6" s="12">
        <f>P5*PERM_RATE_PCT/12</f>
        <v/>
      </c>
      <c r="Q6" s="12">
        <f>Q5*PERM_RATE_PCT/12</f>
        <v/>
      </c>
      <c r="R6" s="12">
        <f>R5*PERM_RATE_PCT/12</f>
        <v/>
      </c>
      <c r="S6" s="12">
        <f>S5*PERM_RATE_PCT/12</f>
        <v/>
      </c>
      <c r="T6" s="12">
        <f>T5*PERM_RATE_PCT/12</f>
        <v/>
      </c>
      <c r="U6" s="12">
        <f>U5*PERM_RATE_PCT/12</f>
        <v/>
      </c>
      <c r="V6" s="12">
        <f>V5*PERM_RATE_PCT/12</f>
        <v/>
      </c>
      <c r="W6" s="12">
        <f>W5*PERM_RATE_PCT/12</f>
        <v/>
      </c>
      <c r="X6" s="12">
        <f>X5*PERM_RATE_PCT/12</f>
        <v/>
      </c>
      <c r="Y6" s="12">
        <f>Y5*PERM_RATE_PCT/12</f>
        <v/>
      </c>
      <c r="Z6" s="12">
        <f>Z5*PERM_RATE_PCT/12</f>
        <v/>
      </c>
      <c r="AA6" s="12">
        <f>AA5*PERM_RATE_PCT/12</f>
        <v/>
      </c>
      <c r="AB6" s="12">
        <f>AB5*PERM_RATE_PCT/12</f>
        <v/>
      </c>
      <c r="AC6" s="12">
        <f>AC5*PERM_RATE_PCT/12</f>
        <v/>
      </c>
      <c r="AD6" s="12">
        <f>AD5*PERM_RATE_PCT/12</f>
        <v/>
      </c>
      <c r="AE6" s="12">
        <f>AE5*PERM_RATE_PCT/12</f>
        <v/>
      </c>
      <c r="AF6" s="12">
        <f>AF5*PERM_RATE_PCT/12</f>
        <v/>
      </c>
      <c r="AG6" s="12">
        <f>AG5*PERM_RATE_PCT/12</f>
        <v/>
      </c>
      <c r="AH6" s="12">
        <f>AH5*PERM_RATE_PCT/12</f>
        <v/>
      </c>
      <c r="AI6" s="12">
        <f>AI5*PERM_RATE_PCT/12</f>
        <v/>
      </c>
      <c r="AJ6" s="12">
        <f>AJ5*PERM_RATE_PCT/12</f>
        <v/>
      </c>
      <c r="AK6" s="12">
        <f>AK5*PERM_RATE_PCT/12</f>
        <v/>
      </c>
      <c r="AL6" s="12">
        <f>AL5*PERM_RATE_PCT/12</f>
        <v/>
      </c>
      <c r="AM6" s="12">
        <f>AM5*PERM_RATE_PCT/12</f>
        <v/>
      </c>
      <c r="AN6" s="12">
        <f>AN5*PERM_RATE_PCT/12</f>
        <v/>
      </c>
      <c r="AO6" s="12">
        <f>AO5*PERM_RATE_PCT/12</f>
        <v/>
      </c>
      <c r="AP6" s="12">
        <f>AP5*PERM_RATE_PCT/12</f>
        <v/>
      </c>
      <c r="AQ6" s="12">
        <f>AQ5*PERM_RATE_PCT/12</f>
        <v/>
      </c>
      <c r="AR6" s="12">
        <f>AR5*PERM_RATE_PCT/12</f>
        <v/>
      </c>
      <c r="AS6" s="12">
        <f>AS5*PERM_RATE_PCT/12</f>
        <v/>
      </c>
      <c r="AT6" s="12">
        <f>AT5*PERM_RATE_PCT/12</f>
        <v/>
      </c>
      <c r="AU6" s="12">
        <f>AU5*PERM_RATE_PCT/12</f>
        <v/>
      </c>
      <c r="AV6" s="12">
        <f>AV5*PERM_RATE_PCT/12</f>
        <v/>
      </c>
      <c r="AW6" s="12">
        <f>AW5*PERM_RATE_PCT/12</f>
        <v/>
      </c>
      <c r="AX6" s="12">
        <f>AX5*PERM_RATE_PCT/12</f>
        <v/>
      </c>
      <c r="AY6" s="12">
        <f>AY5*PERM_RATE_PCT/12</f>
        <v/>
      </c>
      <c r="AZ6" s="12">
        <f>AZ5*PERM_RATE_PCT/12</f>
        <v/>
      </c>
      <c r="BA6" s="12">
        <f>BA5*PERM_RATE_PCT/12</f>
        <v/>
      </c>
      <c r="BB6" s="12">
        <f>BB5*PERM_RATE_PCT/12</f>
        <v/>
      </c>
      <c r="BC6" s="12">
        <f>BC5*PERM_RATE_PCT/12</f>
        <v/>
      </c>
      <c r="BD6" s="12">
        <f>BD5*PERM_RATE_PCT/12</f>
        <v/>
      </c>
      <c r="BE6" s="12">
        <f>BE5*PERM_RATE_PCT/12</f>
        <v/>
      </c>
      <c r="BF6" s="12">
        <f>BF5*PERM_RATE_PCT/12</f>
        <v/>
      </c>
      <c r="BG6" s="12">
        <f>BG5*PERM_RATE_PCT/12</f>
        <v/>
      </c>
      <c r="BH6" s="12">
        <f>BH5*PERM_RATE_PCT/12</f>
        <v/>
      </c>
      <c r="BI6" s="12">
        <f>BI5*PERM_RATE_PCT/12</f>
        <v/>
      </c>
      <c r="BJ6" s="12">
        <f>BJ5*PERM_RATE_PCT/12</f>
        <v/>
      </c>
      <c r="BK6" s="12">
        <f>BK5*PERM_RATE_PCT/12</f>
        <v/>
      </c>
      <c r="BL6" s="12">
        <f>BL5*PERM_RATE_PCT/12</f>
        <v/>
      </c>
      <c r="BM6" s="12">
        <f>BM5*PERM_RATE_PCT/12</f>
        <v/>
      </c>
      <c r="BN6" s="12">
        <f>BN5*PERM_RATE_PCT/12</f>
        <v/>
      </c>
      <c r="BO6" s="12">
        <f>BO5*PERM_RATE_PCT/12</f>
        <v/>
      </c>
      <c r="BP6" s="12">
        <f>BP5*PERM_RATE_PCT/12</f>
        <v/>
      </c>
      <c r="BQ6" s="12">
        <f>BQ5*PERM_RATE_PCT/12</f>
        <v/>
      </c>
      <c r="BR6" s="12">
        <f>BR5*PERM_RATE_PCT/12</f>
        <v/>
      </c>
      <c r="BS6" s="12">
        <f>BS5*PERM_RATE_PCT/12</f>
        <v/>
      </c>
      <c r="BT6" s="12">
        <f>BT5*PERM_RATE_PCT/12</f>
        <v/>
      </c>
      <c r="BU6" s="12">
        <f>BU5*PERM_RATE_PCT/12</f>
        <v/>
      </c>
      <c r="BV6" s="12">
        <f>BV5*PERM_RATE_PCT/12</f>
        <v/>
      </c>
      <c r="BW6" s="12">
        <f>BW5*PERM_RATE_PCT/12</f>
        <v/>
      </c>
      <c r="BX6" s="12">
        <f>BX5*PERM_RATE_PCT/12</f>
        <v/>
      </c>
      <c r="BY6" s="12">
        <f>BY5*PERM_RATE_PCT/12</f>
        <v/>
      </c>
      <c r="BZ6" s="12">
        <f>BZ5*PERM_RATE_PCT/12</f>
        <v/>
      </c>
      <c r="CA6" s="12">
        <f>CA5*PERM_RATE_PCT/12</f>
        <v/>
      </c>
      <c r="CB6" s="12">
        <f>CB5*PERM_RATE_PCT/12</f>
        <v/>
      </c>
      <c r="CC6" s="12">
        <f>CC5*PERM_RATE_PCT/12</f>
        <v/>
      </c>
      <c r="CD6" s="12">
        <f>CD5*PERM_RATE_PCT/12</f>
        <v/>
      </c>
      <c r="CE6" s="12">
        <f>CE5*PERM_RATE_PCT/12</f>
        <v/>
      </c>
      <c r="CF6" s="12">
        <f>CF5*PERM_RATE_PCT/12</f>
        <v/>
      </c>
      <c r="CG6" s="12">
        <f>CG5*PERM_RATE_PCT/12</f>
        <v/>
      </c>
      <c r="CH6" s="12">
        <f>CH5*PERM_RATE_PCT/12</f>
        <v/>
      </c>
    </row>
    <row r="7">
      <c r="A7" s="3" t="inlineStr">
        <is>
          <t>Scheduled payment</t>
        </is>
      </c>
      <c r="B7" s="4" t="inlineStr">
        <is>
          <t>$</t>
        </is>
      </c>
      <c r="C7" s="12">
        <f>IF(AND(C2&gt;=PERM_CONV_M,C2&lt;EXIT_M),PMT(PERM_RATE_PCT/12,PERM_AMORT_YRS*12,-$C$39),0)</f>
        <v/>
      </c>
      <c r="D7" s="12">
        <f>IF(AND(D2&gt;=PERM_CONV_M,D2&lt;EXIT_M),PMT(PERM_RATE_PCT/12,PERM_AMORT_YRS*12,-$C$39),0)</f>
        <v/>
      </c>
      <c r="E7" s="12">
        <f>IF(AND(E2&gt;=PERM_CONV_M,E2&lt;EXIT_M),PMT(PERM_RATE_PCT/12,PERM_AMORT_YRS*12,-$C$39),0)</f>
        <v/>
      </c>
      <c r="F7" s="12">
        <f>IF(AND(F2&gt;=PERM_CONV_M,F2&lt;EXIT_M),PMT(PERM_RATE_PCT/12,PERM_AMORT_YRS*12,-$C$39),0)</f>
        <v/>
      </c>
      <c r="G7" s="12">
        <f>IF(AND(G2&gt;=PERM_CONV_M,G2&lt;EXIT_M),PMT(PERM_RATE_PCT/12,PERM_AMORT_YRS*12,-$C$39),0)</f>
        <v/>
      </c>
      <c r="H7" s="12">
        <f>IF(AND(H2&gt;=PERM_CONV_M,H2&lt;EXIT_M),PMT(PERM_RATE_PCT/12,PERM_AMORT_YRS*12,-$C$39),0)</f>
        <v/>
      </c>
      <c r="I7" s="12">
        <f>IF(AND(I2&gt;=PERM_CONV_M,I2&lt;EXIT_M),PMT(PERM_RATE_PCT/12,PERM_AMORT_YRS*12,-$C$39),0)</f>
        <v/>
      </c>
      <c r="J7" s="12">
        <f>IF(AND(J2&gt;=PERM_CONV_M,J2&lt;EXIT_M),PMT(PERM_RATE_PCT/12,PERM_AMORT_YRS*12,-$C$39),0)</f>
        <v/>
      </c>
      <c r="K7" s="12">
        <f>IF(AND(K2&gt;=PERM_CONV_M,K2&lt;EXIT_M),PMT(PERM_RATE_PCT/12,PERM_AMORT_YRS*12,-$C$39),0)</f>
        <v/>
      </c>
      <c r="L7" s="12">
        <f>IF(AND(L2&gt;=PERM_CONV_M,L2&lt;EXIT_M),PMT(PERM_RATE_PCT/12,PERM_AMORT_YRS*12,-$C$39),0)</f>
        <v/>
      </c>
      <c r="M7" s="12">
        <f>IF(AND(M2&gt;=PERM_CONV_M,M2&lt;EXIT_M),PMT(PERM_RATE_PCT/12,PERM_AMORT_YRS*12,-$C$39),0)</f>
        <v/>
      </c>
      <c r="N7" s="12">
        <f>IF(AND(N2&gt;=PERM_CONV_M,N2&lt;EXIT_M),PMT(PERM_RATE_PCT/12,PERM_AMORT_YRS*12,-$C$39),0)</f>
        <v/>
      </c>
      <c r="O7" s="12">
        <f>IF(AND(O2&gt;=PERM_CONV_M,O2&lt;EXIT_M),PMT(PERM_RATE_PCT/12,PERM_AMORT_YRS*12,-$C$39),0)</f>
        <v/>
      </c>
      <c r="P7" s="12">
        <f>IF(AND(P2&gt;=PERM_CONV_M,P2&lt;EXIT_M),PMT(PERM_RATE_PCT/12,PERM_AMORT_YRS*12,-$C$39),0)</f>
        <v/>
      </c>
      <c r="Q7" s="12">
        <f>IF(AND(Q2&gt;=PERM_CONV_M,Q2&lt;EXIT_M),PMT(PERM_RATE_PCT/12,PERM_AMORT_YRS*12,-$C$39),0)</f>
        <v/>
      </c>
      <c r="R7" s="12">
        <f>IF(AND(R2&gt;=PERM_CONV_M,R2&lt;EXIT_M),PMT(PERM_RATE_PCT/12,PERM_AMORT_YRS*12,-$C$39),0)</f>
        <v/>
      </c>
      <c r="S7" s="12">
        <f>IF(AND(S2&gt;=PERM_CONV_M,S2&lt;EXIT_M),PMT(PERM_RATE_PCT/12,PERM_AMORT_YRS*12,-$C$39),0)</f>
        <v/>
      </c>
      <c r="T7" s="12">
        <f>IF(AND(T2&gt;=PERM_CONV_M,T2&lt;EXIT_M),PMT(PERM_RATE_PCT/12,PERM_AMORT_YRS*12,-$C$39),0)</f>
        <v/>
      </c>
      <c r="U7" s="12">
        <f>IF(AND(U2&gt;=PERM_CONV_M,U2&lt;EXIT_M),PMT(PERM_RATE_PCT/12,PERM_AMORT_YRS*12,-$C$39),0)</f>
        <v/>
      </c>
      <c r="V7" s="12">
        <f>IF(AND(V2&gt;=PERM_CONV_M,V2&lt;EXIT_M),PMT(PERM_RATE_PCT/12,PERM_AMORT_YRS*12,-$C$39),0)</f>
        <v/>
      </c>
      <c r="W7" s="12">
        <f>IF(AND(W2&gt;=PERM_CONV_M,W2&lt;EXIT_M),PMT(PERM_RATE_PCT/12,PERM_AMORT_YRS*12,-$C$39),0)</f>
        <v/>
      </c>
      <c r="X7" s="12">
        <f>IF(AND(X2&gt;=PERM_CONV_M,X2&lt;EXIT_M),PMT(PERM_RATE_PCT/12,PERM_AMORT_YRS*12,-$C$39),0)</f>
        <v/>
      </c>
      <c r="Y7" s="12">
        <f>IF(AND(Y2&gt;=PERM_CONV_M,Y2&lt;EXIT_M),PMT(PERM_RATE_PCT/12,PERM_AMORT_YRS*12,-$C$39),0)</f>
        <v/>
      </c>
      <c r="Z7" s="12">
        <f>IF(AND(Z2&gt;=PERM_CONV_M,Z2&lt;EXIT_M),PMT(PERM_RATE_PCT/12,PERM_AMORT_YRS*12,-$C$39),0)</f>
        <v/>
      </c>
      <c r="AA7" s="12">
        <f>IF(AND(AA2&gt;=PERM_CONV_M,AA2&lt;EXIT_M),PMT(PERM_RATE_PCT/12,PERM_AMORT_YRS*12,-$C$39),0)</f>
        <v/>
      </c>
      <c r="AB7" s="12">
        <f>IF(AND(AB2&gt;=PERM_CONV_M,AB2&lt;EXIT_M),PMT(PERM_RATE_PCT/12,PERM_AMORT_YRS*12,-$C$39),0)</f>
        <v/>
      </c>
      <c r="AC7" s="12">
        <f>IF(AND(AC2&gt;=PERM_CONV_M,AC2&lt;EXIT_M),PMT(PERM_RATE_PCT/12,PERM_AMORT_YRS*12,-$C$39),0)</f>
        <v/>
      </c>
      <c r="AD7" s="12">
        <f>IF(AND(AD2&gt;=PERM_CONV_M,AD2&lt;EXIT_M),PMT(PERM_RATE_PCT/12,PERM_AMORT_YRS*12,-$C$39),0)</f>
        <v/>
      </c>
      <c r="AE7" s="12">
        <f>IF(AND(AE2&gt;=PERM_CONV_M,AE2&lt;EXIT_M),PMT(PERM_RATE_PCT/12,PERM_AMORT_YRS*12,-$C$39),0)</f>
        <v/>
      </c>
      <c r="AF7" s="12">
        <f>IF(AND(AF2&gt;=PERM_CONV_M,AF2&lt;EXIT_M),PMT(PERM_RATE_PCT/12,PERM_AMORT_YRS*12,-$C$39),0)</f>
        <v/>
      </c>
      <c r="AG7" s="12">
        <f>IF(AND(AG2&gt;=PERM_CONV_M,AG2&lt;EXIT_M),PMT(PERM_RATE_PCT/12,PERM_AMORT_YRS*12,-$C$39),0)</f>
        <v/>
      </c>
      <c r="AH7" s="12">
        <f>IF(AND(AH2&gt;=PERM_CONV_M,AH2&lt;EXIT_M),PMT(PERM_RATE_PCT/12,PERM_AMORT_YRS*12,-$C$39),0)</f>
        <v/>
      </c>
      <c r="AI7" s="12">
        <f>IF(AND(AI2&gt;=PERM_CONV_M,AI2&lt;EXIT_M),PMT(PERM_RATE_PCT/12,PERM_AMORT_YRS*12,-$C$39),0)</f>
        <v/>
      </c>
      <c r="AJ7" s="12">
        <f>IF(AND(AJ2&gt;=PERM_CONV_M,AJ2&lt;EXIT_M),PMT(PERM_RATE_PCT/12,PERM_AMORT_YRS*12,-$C$39),0)</f>
        <v/>
      </c>
      <c r="AK7" s="12">
        <f>IF(AND(AK2&gt;=PERM_CONV_M,AK2&lt;EXIT_M),PMT(PERM_RATE_PCT/12,PERM_AMORT_YRS*12,-$C$39),0)</f>
        <v/>
      </c>
      <c r="AL7" s="12">
        <f>IF(AND(AL2&gt;=PERM_CONV_M,AL2&lt;EXIT_M),PMT(PERM_RATE_PCT/12,PERM_AMORT_YRS*12,-$C$39),0)</f>
        <v/>
      </c>
      <c r="AM7" s="12">
        <f>IF(AND(AM2&gt;=PERM_CONV_M,AM2&lt;EXIT_M),PMT(PERM_RATE_PCT/12,PERM_AMORT_YRS*12,-$C$39),0)</f>
        <v/>
      </c>
      <c r="AN7" s="12">
        <f>IF(AND(AN2&gt;=PERM_CONV_M,AN2&lt;EXIT_M),PMT(PERM_RATE_PCT/12,PERM_AMORT_YRS*12,-$C$39),0)</f>
        <v/>
      </c>
      <c r="AO7" s="12">
        <f>IF(AND(AO2&gt;=PERM_CONV_M,AO2&lt;EXIT_M),PMT(PERM_RATE_PCT/12,PERM_AMORT_YRS*12,-$C$39),0)</f>
        <v/>
      </c>
      <c r="AP7" s="12">
        <f>IF(AND(AP2&gt;=PERM_CONV_M,AP2&lt;EXIT_M),PMT(PERM_RATE_PCT/12,PERM_AMORT_YRS*12,-$C$39),0)</f>
        <v/>
      </c>
      <c r="AQ7" s="12">
        <f>IF(AND(AQ2&gt;=PERM_CONV_M,AQ2&lt;EXIT_M),PMT(PERM_RATE_PCT/12,PERM_AMORT_YRS*12,-$C$39),0)</f>
        <v/>
      </c>
      <c r="AR7" s="12">
        <f>IF(AND(AR2&gt;=PERM_CONV_M,AR2&lt;EXIT_M),PMT(PERM_RATE_PCT/12,PERM_AMORT_YRS*12,-$C$39),0)</f>
        <v/>
      </c>
      <c r="AS7" s="12">
        <f>IF(AND(AS2&gt;=PERM_CONV_M,AS2&lt;EXIT_M),PMT(PERM_RATE_PCT/12,PERM_AMORT_YRS*12,-$C$39),0)</f>
        <v/>
      </c>
      <c r="AT7" s="12">
        <f>IF(AND(AT2&gt;=PERM_CONV_M,AT2&lt;EXIT_M),PMT(PERM_RATE_PCT/12,PERM_AMORT_YRS*12,-$C$39),0)</f>
        <v/>
      </c>
      <c r="AU7" s="12">
        <f>IF(AND(AU2&gt;=PERM_CONV_M,AU2&lt;EXIT_M),PMT(PERM_RATE_PCT/12,PERM_AMORT_YRS*12,-$C$39),0)</f>
        <v/>
      </c>
      <c r="AV7" s="12">
        <f>IF(AND(AV2&gt;=PERM_CONV_M,AV2&lt;EXIT_M),PMT(PERM_RATE_PCT/12,PERM_AMORT_YRS*12,-$C$39),0)</f>
        <v/>
      </c>
      <c r="AW7" s="12">
        <f>IF(AND(AW2&gt;=PERM_CONV_M,AW2&lt;EXIT_M),PMT(PERM_RATE_PCT/12,PERM_AMORT_YRS*12,-$C$39),0)</f>
        <v/>
      </c>
      <c r="AX7" s="12">
        <f>IF(AND(AX2&gt;=PERM_CONV_M,AX2&lt;EXIT_M),PMT(PERM_RATE_PCT/12,PERM_AMORT_YRS*12,-$C$39),0)</f>
        <v/>
      </c>
      <c r="AY7" s="12">
        <f>IF(AND(AY2&gt;=PERM_CONV_M,AY2&lt;EXIT_M),PMT(PERM_RATE_PCT/12,PERM_AMORT_YRS*12,-$C$39),0)</f>
        <v/>
      </c>
      <c r="AZ7" s="12">
        <f>IF(AND(AZ2&gt;=PERM_CONV_M,AZ2&lt;EXIT_M),PMT(PERM_RATE_PCT/12,PERM_AMORT_YRS*12,-$C$39),0)</f>
        <v/>
      </c>
      <c r="BA7" s="12">
        <f>IF(AND(BA2&gt;=PERM_CONV_M,BA2&lt;EXIT_M),PMT(PERM_RATE_PCT/12,PERM_AMORT_YRS*12,-$C$39),0)</f>
        <v/>
      </c>
      <c r="BB7" s="12">
        <f>IF(AND(BB2&gt;=PERM_CONV_M,BB2&lt;EXIT_M),PMT(PERM_RATE_PCT/12,PERM_AMORT_YRS*12,-$C$39),0)</f>
        <v/>
      </c>
      <c r="BC7" s="12">
        <f>IF(AND(BC2&gt;=PERM_CONV_M,BC2&lt;EXIT_M),PMT(PERM_RATE_PCT/12,PERM_AMORT_YRS*12,-$C$39),0)</f>
        <v/>
      </c>
      <c r="BD7" s="12">
        <f>IF(AND(BD2&gt;=PERM_CONV_M,BD2&lt;EXIT_M),PMT(PERM_RATE_PCT/12,PERM_AMORT_YRS*12,-$C$39),0)</f>
        <v/>
      </c>
      <c r="BE7" s="12">
        <f>IF(AND(BE2&gt;=PERM_CONV_M,BE2&lt;EXIT_M),PMT(PERM_RATE_PCT/12,PERM_AMORT_YRS*12,-$C$39),0)</f>
        <v/>
      </c>
      <c r="BF7" s="12">
        <f>IF(AND(BF2&gt;=PERM_CONV_M,BF2&lt;EXIT_M),PMT(PERM_RATE_PCT/12,PERM_AMORT_YRS*12,-$C$39),0)</f>
        <v/>
      </c>
      <c r="BG7" s="12">
        <f>IF(AND(BG2&gt;=PERM_CONV_M,BG2&lt;EXIT_M),PMT(PERM_RATE_PCT/12,PERM_AMORT_YRS*12,-$C$39),0)</f>
        <v/>
      </c>
      <c r="BH7" s="12">
        <f>IF(AND(BH2&gt;=PERM_CONV_M,BH2&lt;EXIT_M),PMT(PERM_RATE_PCT/12,PERM_AMORT_YRS*12,-$C$39),0)</f>
        <v/>
      </c>
      <c r="BI7" s="12">
        <f>IF(AND(BI2&gt;=PERM_CONV_M,BI2&lt;EXIT_M),PMT(PERM_RATE_PCT/12,PERM_AMORT_YRS*12,-$C$39),0)</f>
        <v/>
      </c>
      <c r="BJ7" s="12">
        <f>IF(AND(BJ2&gt;=PERM_CONV_M,BJ2&lt;EXIT_M),PMT(PERM_RATE_PCT/12,PERM_AMORT_YRS*12,-$C$39),0)</f>
        <v/>
      </c>
      <c r="BK7" s="12">
        <f>IF(AND(BK2&gt;=PERM_CONV_M,BK2&lt;EXIT_M),PMT(PERM_RATE_PCT/12,PERM_AMORT_YRS*12,-$C$39),0)</f>
        <v/>
      </c>
      <c r="BL7" s="12">
        <f>IF(AND(BL2&gt;=PERM_CONV_M,BL2&lt;EXIT_M),PMT(PERM_RATE_PCT/12,PERM_AMORT_YRS*12,-$C$39),0)</f>
        <v/>
      </c>
      <c r="BM7" s="12">
        <f>IF(AND(BM2&gt;=PERM_CONV_M,BM2&lt;EXIT_M),PMT(PERM_RATE_PCT/12,PERM_AMORT_YRS*12,-$C$39),0)</f>
        <v/>
      </c>
      <c r="BN7" s="12">
        <f>IF(AND(BN2&gt;=PERM_CONV_M,BN2&lt;EXIT_M),PMT(PERM_RATE_PCT/12,PERM_AMORT_YRS*12,-$C$39),0)</f>
        <v/>
      </c>
      <c r="BO7" s="12">
        <f>IF(AND(BO2&gt;=PERM_CONV_M,BO2&lt;EXIT_M),PMT(PERM_RATE_PCT/12,PERM_AMORT_YRS*12,-$C$39),0)</f>
        <v/>
      </c>
      <c r="BP7" s="12">
        <f>IF(AND(BP2&gt;=PERM_CONV_M,BP2&lt;EXIT_M),PMT(PERM_RATE_PCT/12,PERM_AMORT_YRS*12,-$C$39),0)</f>
        <v/>
      </c>
      <c r="BQ7" s="12">
        <f>IF(AND(BQ2&gt;=PERM_CONV_M,BQ2&lt;EXIT_M),PMT(PERM_RATE_PCT/12,PERM_AMORT_YRS*12,-$C$39),0)</f>
        <v/>
      </c>
      <c r="BR7" s="12">
        <f>IF(AND(BR2&gt;=PERM_CONV_M,BR2&lt;EXIT_M),PMT(PERM_RATE_PCT/12,PERM_AMORT_YRS*12,-$C$39),0)</f>
        <v/>
      </c>
      <c r="BS7" s="12">
        <f>IF(AND(BS2&gt;=PERM_CONV_M,BS2&lt;EXIT_M),PMT(PERM_RATE_PCT/12,PERM_AMORT_YRS*12,-$C$39),0)</f>
        <v/>
      </c>
      <c r="BT7" s="12">
        <f>IF(AND(BT2&gt;=PERM_CONV_M,BT2&lt;EXIT_M),PMT(PERM_RATE_PCT/12,PERM_AMORT_YRS*12,-$C$39),0)</f>
        <v/>
      </c>
      <c r="BU7" s="12">
        <f>IF(AND(BU2&gt;=PERM_CONV_M,BU2&lt;EXIT_M),PMT(PERM_RATE_PCT/12,PERM_AMORT_YRS*12,-$C$39),0)</f>
        <v/>
      </c>
      <c r="BV7" s="12">
        <f>IF(AND(BV2&gt;=PERM_CONV_M,BV2&lt;EXIT_M),PMT(PERM_RATE_PCT/12,PERM_AMORT_YRS*12,-$C$39),0)</f>
        <v/>
      </c>
      <c r="BW7" s="12">
        <f>IF(AND(BW2&gt;=PERM_CONV_M,BW2&lt;EXIT_M),PMT(PERM_RATE_PCT/12,PERM_AMORT_YRS*12,-$C$39),0)</f>
        <v/>
      </c>
      <c r="BX7" s="12">
        <f>IF(AND(BX2&gt;=PERM_CONV_M,BX2&lt;EXIT_M),PMT(PERM_RATE_PCT/12,PERM_AMORT_YRS*12,-$C$39),0)</f>
        <v/>
      </c>
      <c r="BY7" s="12">
        <f>IF(AND(BY2&gt;=PERM_CONV_M,BY2&lt;EXIT_M),PMT(PERM_RATE_PCT/12,PERM_AMORT_YRS*12,-$C$39),0)</f>
        <v/>
      </c>
      <c r="BZ7" s="12">
        <f>IF(AND(BZ2&gt;=PERM_CONV_M,BZ2&lt;EXIT_M),PMT(PERM_RATE_PCT/12,PERM_AMORT_YRS*12,-$C$39),0)</f>
        <v/>
      </c>
      <c r="CA7" s="12">
        <f>IF(AND(CA2&gt;=PERM_CONV_M,CA2&lt;EXIT_M),PMT(PERM_RATE_PCT/12,PERM_AMORT_YRS*12,-$C$39),0)</f>
        <v/>
      </c>
      <c r="CB7" s="12">
        <f>IF(AND(CB2&gt;=PERM_CONV_M,CB2&lt;EXIT_M),PMT(PERM_RATE_PCT/12,PERM_AMORT_YRS*12,-$C$39),0)</f>
        <v/>
      </c>
      <c r="CC7" s="12">
        <f>IF(AND(CC2&gt;=PERM_CONV_M,CC2&lt;EXIT_M),PMT(PERM_RATE_PCT/12,PERM_AMORT_YRS*12,-$C$39),0)</f>
        <v/>
      </c>
      <c r="CD7" s="12">
        <f>IF(AND(CD2&gt;=PERM_CONV_M,CD2&lt;EXIT_M),PMT(PERM_RATE_PCT/12,PERM_AMORT_YRS*12,-$C$39),0)</f>
        <v/>
      </c>
      <c r="CE7" s="12">
        <f>IF(AND(CE2&gt;=PERM_CONV_M,CE2&lt;EXIT_M),PMT(PERM_RATE_PCT/12,PERM_AMORT_YRS*12,-$C$39),0)</f>
        <v/>
      </c>
      <c r="CF7" s="12">
        <f>IF(AND(CF2&gt;=PERM_CONV_M,CF2&lt;EXIT_M),PMT(PERM_RATE_PCT/12,PERM_AMORT_YRS*12,-$C$39),0)</f>
        <v/>
      </c>
      <c r="CG7" s="12">
        <f>IF(AND(CG2&gt;=PERM_CONV_M,CG2&lt;EXIT_M),PMT(PERM_RATE_PCT/12,PERM_AMORT_YRS*12,-$C$39),0)</f>
        <v/>
      </c>
      <c r="CH7" s="12">
        <f>IF(AND(CH2&gt;=PERM_CONV_M,CH2&lt;EXIT_M),PMT(PERM_RATE_PCT/12,PERM_AMORT_YRS*12,-$C$39),0)</f>
        <v/>
      </c>
    </row>
    <row r="8">
      <c r="A8" s="3" t="inlineStr">
        <is>
          <t>Scheduled principal</t>
        </is>
      </c>
      <c r="B8" s="4" t="inlineStr">
        <is>
          <t>$</t>
        </is>
      </c>
      <c r="C8" s="12">
        <f>IF(C7=0,0,C7-C6)</f>
        <v/>
      </c>
      <c r="D8" s="12">
        <f>IF(D7=0,0,D7-D6)</f>
        <v/>
      </c>
      <c r="E8" s="12">
        <f>IF(E7=0,0,E7-E6)</f>
        <v/>
      </c>
      <c r="F8" s="12">
        <f>IF(F7=0,0,F7-F6)</f>
        <v/>
      </c>
      <c r="G8" s="12">
        <f>IF(G7=0,0,G7-G6)</f>
        <v/>
      </c>
      <c r="H8" s="12">
        <f>IF(H7=0,0,H7-H6)</f>
        <v/>
      </c>
      <c r="I8" s="12">
        <f>IF(I7=0,0,I7-I6)</f>
        <v/>
      </c>
      <c r="J8" s="12">
        <f>IF(J7=0,0,J7-J6)</f>
        <v/>
      </c>
      <c r="K8" s="12">
        <f>IF(K7=0,0,K7-K6)</f>
        <v/>
      </c>
      <c r="L8" s="12">
        <f>IF(L7=0,0,L7-L6)</f>
        <v/>
      </c>
      <c r="M8" s="12">
        <f>IF(M7=0,0,M7-M6)</f>
        <v/>
      </c>
      <c r="N8" s="12">
        <f>IF(N7=0,0,N7-N6)</f>
        <v/>
      </c>
      <c r="O8" s="12">
        <f>IF(O7=0,0,O7-O6)</f>
        <v/>
      </c>
      <c r="P8" s="12">
        <f>IF(P7=0,0,P7-P6)</f>
        <v/>
      </c>
      <c r="Q8" s="12">
        <f>IF(Q7=0,0,Q7-Q6)</f>
        <v/>
      </c>
      <c r="R8" s="12">
        <f>IF(R7=0,0,R7-R6)</f>
        <v/>
      </c>
      <c r="S8" s="12">
        <f>IF(S7=0,0,S7-S6)</f>
        <v/>
      </c>
      <c r="T8" s="12">
        <f>IF(T7=0,0,T7-T6)</f>
        <v/>
      </c>
      <c r="U8" s="12">
        <f>IF(U7=0,0,U7-U6)</f>
        <v/>
      </c>
      <c r="V8" s="12">
        <f>IF(V7=0,0,V7-V6)</f>
        <v/>
      </c>
      <c r="W8" s="12">
        <f>IF(W7=0,0,W7-W6)</f>
        <v/>
      </c>
      <c r="X8" s="12">
        <f>IF(X7=0,0,X7-X6)</f>
        <v/>
      </c>
      <c r="Y8" s="12">
        <f>IF(Y7=0,0,Y7-Y6)</f>
        <v/>
      </c>
      <c r="Z8" s="12">
        <f>IF(Z7=0,0,Z7-Z6)</f>
        <v/>
      </c>
      <c r="AA8" s="12">
        <f>IF(AA7=0,0,AA7-AA6)</f>
        <v/>
      </c>
      <c r="AB8" s="12">
        <f>IF(AB7=0,0,AB7-AB6)</f>
        <v/>
      </c>
      <c r="AC8" s="12">
        <f>IF(AC7=0,0,AC7-AC6)</f>
        <v/>
      </c>
      <c r="AD8" s="12">
        <f>IF(AD7=0,0,AD7-AD6)</f>
        <v/>
      </c>
      <c r="AE8" s="12">
        <f>IF(AE7=0,0,AE7-AE6)</f>
        <v/>
      </c>
      <c r="AF8" s="12">
        <f>IF(AF7=0,0,AF7-AF6)</f>
        <v/>
      </c>
      <c r="AG8" s="12">
        <f>IF(AG7=0,0,AG7-AG6)</f>
        <v/>
      </c>
      <c r="AH8" s="12">
        <f>IF(AH7=0,0,AH7-AH6)</f>
        <v/>
      </c>
      <c r="AI8" s="12">
        <f>IF(AI7=0,0,AI7-AI6)</f>
        <v/>
      </c>
      <c r="AJ8" s="12">
        <f>IF(AJ7=0,0,AJ7-AJ6)</f>
        <v/>
      </c>
      <c r="AK8" s="12">
        <f>IF(AK7=0,0,AK7-AK6)</f>
        <v/>
      </c>
      <c r="AL8" s="12">
        <f>IF(AL7=0,0,AL7-AL6)</f>
        <v/>
      </c>
      <c r="AM8" s="12">
        <f>IF(AM7=0,0,AM7-AM6)</f>
        <v/>
      </c>
      <c r="AN8" s="12">
        <f>IF(AN7=0,0,AN7-AN6)</f>
        <v/>
      </c>
      <c r="AO8" s="12">
        <f>IF(AO7=0,0,AO7-AO6)</f>
        <v/>
      </c>
      <c r="AP8" s="12">
        <f>IF(AP7=0,0,AP7-AP6)</f>
        <v/>
      </c>
      <c r="AQ8" s="12">
        <f>IF(AQ7=0,0,AQ7-AQ6)</f>
        <v/>
      </c>
      <c r="AR8" s="12">
        <f>IF(AR7=0,0,AR7-AR6)</f>
        <v/>
      </c>
      <c r="AS8" s="12">
        <f>IF(AS7=0,0,AS7-AS6)</f>
        <v/>
      </c>
      <c r="AT8" s="12">
        <f>IF(AT7=0,0,AT7-AT6)</f>
        <v/>
      </c>
      <c r="AU8" s="12">
        <f>IF(AU7=0,0,AU7-AU6)</f>
        <v/>
      </c>
      <c r="AV8" s="12">
        <f>IF(AV7=0,0,AV7-AV6)</f>
        <v/>
      </c>
      <c r="AW8" s="12">
        <f>IF(AW7=0,0,AW7-AW6)</f>
        <v/>
      </c>
      <c r="AX8" s="12">
        <f>IF(AX7=0,0,AX7-AX6)</f>
        <v/>
      </c>
      <c r="AY8" s="12">
        <f>IF(AY7=0,0,AY7-AY6)</f>
        <v/>
      </c>
      <c r="AZ8" s="12">
        <f>IF(AZ7=0,0,AZ7-AZ6)</f>
        <v/>
      </c>
      <c r="BA8" s="12">
        <f>IF(BA7=0,0,BA7-BA6)</f>
        <v/>
      </c>
      <c r="BB8" s="12">
        <f>IF(BB7=0,0,BB7-BB6)</f>
        <v/>
      </c>
      <c r="BC8" s="12">
        <f>IF(BC7=0,0,BC7-BC6)</f>
        <v/>
      </c>
      <c r="BD8" s="12">
        <f>IF(BD7=0,0,BD7-BD6)</f>
        <v/>
      </c>
      <c r="BE8" s="12">
        <f>IF(BE7=0,0,BE7-BE6)</f>
        <v/>
      </c>
      <c r="BF8" s="12">
        <f>IF(BF7=0,0,BF7-BF6)</f>
        <v/>
      </c>
      <c r="BG8" s="12">
        <f>IF(BG7=0,0,BG7-BG6)</f>
        <v/>
      </c>
      <c r="BH8" s="12">
        <f>IF(BH7=0,0,BH7-BH6)</f>
        <v/>
      </c>
      <c r="BI8" s="12">
        <f>IF(BI7=0,0,BI7-BI6)</f>
        <v/>
      </c>
      <c r="BJ8" s="12">
        <f>IF(BJ7=0,0,BJ7-BJ6)</f>
        <v/>
      </c>
      <c r="BK8" s="12">
        <f>IF(BK7=0,0,BK7-BK6)</f>
        <v/>
      </c>
      <c r="BL8" s="12">
        <f>IF(BL7=0,0,BL7-BL6)</f>
        <v/>
      </c>
      <c r="BM8" s="12">
        <f>IF(BM7=0,0,BM7-BM6)</f>
        <v/>
      </c>
      <c r="BN8" s="12">
        <f>IF(BN7=0,0,BN7-BN6)</f>
        <v/>
      </c>
      <c r="BO8" s="12">
        <f>IF(BO7=0,0,BO7-BO6)</f>
        <v/>
      </c>
      <c r="BP8" s="12">
        <f>IF(BP7=0,0,BP7-BP6)</f>
        <v/>
      </c>
      <c r="BQ8" s="12">
        <f>IF(BQ7=0,0,BQ7-BQ6)</f>
        <v/>
      </c>
      <c r="BR8" s="12">
        <f>IF(BR7=0,0,BR7-BR6)</f>
        <v/>
      </c>
      <c r="BS8" s="12">
        <f>IF(BS7=0,0,BS7-BS6)</f>
        <v/>
      </c>
      <c r="BT8" s="12">
        <f>IF(BT7=0,0,BT7-BT6)</f>
        <v/>
      </c>
      <c r="BU8" s="12">
        <f>IF(BU7=0,0,BU7-BU6)</f>
        <v/>
      </c>
      <c r="BV8" s="12">
        <f>IF(BV7=0,0,BV7-BV6)</f>
        <v/>
      </c>
      <c r="BW8" s="12">
        <f>IF(BW7=0,0,BW7-BW6)</f>
        <v/>
      </c>
      <c r="BX8" s="12">
        <f>IF(BX7=0,0,BX7-BX6)</f>
        <v/>
      </c>
      <c r="BY8" s="12">
        <f>IF(BY7=0,0,BY7-BY6)</f>
        <v/>
      </c>
      <c r="BZ8" s="12">
        <f>IF(BZ7=0,0,BZ7-BZ6)</f>
        <v/>
      </c>
      <c r="CA8" s="12">
        <f>IF(CA7=0,0,CA7-CA6)</f>
        <v/>
      </c>
      <c r="CB8" s="12">
        <f>IF(CB7=0,0,CB7-CB6)</f>
        <v/>
      </c>
      <c r="CC8" s="12">
        <f>IF(CC7=0,0,CC7-CC6)</f>
        <v/>
      </c>
      <c r="CD8" s="12">
        <f>IF(CD7=0,0,CD7-CD6)</f>
        <v/>
      </c>
      <c r="CE8" s="12">
        <f>IF(CE7=0,0,CE7-CE6)</f>
        <v/>
      </c>
      <c r="CF8" s="12">
        <f>IF(CF7=0,0,CF7-CF6)</f>
        <v/>
      </c>
      <c r="CG8" s="12">
        <f>IF(CG7=0,0,CG7-CG6)</f>
        <v/>
      </c>
      <c r="CH8" s="12">
        <f>IF(CH7=0,0,CH7-CH6)</f>
        <v/>
      </c>
    </row>
    <row r="9">
      <c r="A9" s="3" t="inlineStr">
        <is>
          <t>Exit payoff</t>
        </is>
      </c>
      <c r="B9" s="4" t="inlineStr">
        <is>
          <t>$</t>
        </is>
      </c>
      <c r="C9" s="12">
        <f>IF(C2=EXIT_M,C5,0)</f>
        <v/>
      </c>
      <c r="D9" s="12">
        <f>IF(D2=EXIT_M,D5,0)</f>
        <v/>
      </c>
      <c r="E9" s="12">
        <f>IF(E2=EXIT_M,E5,0)</f>
        <v/>
      </c>
      <c r="F9" s="12">
        <f>IF(F2=EXIT_M,F5,0)</f>
        <v/>
      </c>
      <c r="G9" s="12">
        <f>IF(G2=EXIT_M,G5,0)</f>
        <v/>
      </c>
      <c r="H9" s="12">
        <f>IF(H2=EXIT_M,H5,0)</f>
        <v/>
      </c>
      <c r="I9" s="12">
        <f>IF(I2=EXIT_M,I5,0)</f>
        <v/>
      </c>
      <c r="J9" s="12">
        <f>IF(J2=EXIT_M,J5,0)</f>
        <v/>
      </c>
      <c r="K9" s="12">
        <f>IF(K2=EXIT_M,K5,0)</f>
        <v/>
      </c>
      <c r="L9" s="12">
        <f>IF(L2=EXIT_M,L5,0)</f>
        <v/>
      </c>
      <c r="M9" s="12">
        <f>IF(M2=EXIT_M,M5,0)</f>
        <v/>
      </c>
      <c r="N9" s="12">
        <f>IF(N2=EXIT_M,N5,0)</f>
        <v/>
      </c>
      <c r="O9" s="12">
        <f>IF(O2=EXIT_M,O5,0)</f>
        <v/>
      </c>
      <c r="P9" s="12">
        <f>IF(P2=EXIT_M,P5,0)</f>
        <v/>
      </c>
      <c r="Q9" s="12">
        <f>IF(Q2=EXIT_M,Q5,0)</f>
        <v/>
      </c>
      <c r="R9" s="12">
        <f>IF(R2=EXIT_M,R5,0)</f>
        <v/>
      </c>
      <c r="S9" s="12">
        <f>IF(S2=EXIT_M,S5,0)</f>
        <v/>
      </c>
      <c r="T9" s="12">
        <f>IF(T2=EXIT_M,T5,0)</f>
        <v/>
      </c>
      <c r="U9" s="12">
        <f>IF(U2=EXIT_M,U5,0)</f>
        <v/>
      </c>
      <c r="V9" s="12">
        <f>IF(V2=EXIT_M,V5,0)</f>
        <v/>
      </c>
      <c r="W9" s="12">
        <f>IF(W2=EXIT_M,W5,0)</f>
        <v/>
      </c>
      <c r="X9" s="12">
        <f>IF(X2=EXIT_M,X5,0)</f>
        <v/>
      </c>
      <c r="Y9" s="12">
        <f>IF(Y2=EXIT_M,Y5,0)</f>
        <v/>
      </c>
      <c r="Z9" s="12">
        <f>IF(Z2=EXIT_M,Z5,0)</f>
        <v/>
      </c>
      <c r="AA9" s="12">
        <f>IF(AA2=EXIT_M,AA5,0)</f>
        <v/>
      </c>
      <c r="AB9" s="12">
        <f>IF(AB2=EXIT_M,AB5,0)</f>
        <v/>
      </c>
      <c r="AC9" s="12">
        <f>IF(AC2=EXIT_M,AC5,0)</f>
        <v/>
      </c>
      <c r="AD9" s="12">
        <f>IF(AD2=EXIT_M,AD5,0)</f>
        <v/>
      </c>
      <c r="AE9" s="12">
        <f>IF(AE2=EXIT_M,AE5,0)</f>
        <v/>
      </c>
      <c r="AF9" s="12">
        <f>IF(AF2=EXIT_M,AF5,0)</f>
        <v/>
      </c>
      <c r="AG9" s="12">
        <f>IF(AG2=EXIT_M,AG5,0)</f>
        <v/>
      </c>
      <c r="AH9" s="12">
        <f>IF(AH2=EXIT_M,AH5,0)</f>
        <v/>
      </c>
      <c r="AI9" s="12">
        <f>IF(AI2=EXIT_M,AI5,0)</f>
        <v/>
      </c>
      <c r="AJ9" s="12">
        <f>IF(AJ2=EXIT_M,AJ5,0)</f>
        <v/>
      </c>
      <c r="AK9" s="12">
        <f>IF(AK2=EXIT_M,AK5,0)</f>
        <v/>
      </c>
      <c r="AL9" s="12">
        <f>IF(AL2=EXIT_M,AL5,0)</f>
        <v/>
      </c>
      <c r="AM9" s="12">
        <f>IF(AM2=EXIT_M,AM5,0)</f>
        <v/>
      </c>
      <c r="AN9" s="12">
        <f>IF(AN2=EXIT_M,AN5,0)</f>
        <v/>
      </c>
      <c r="AO9" s="12">
        <f>IF(AO2=EXIT_M,AO5,0)</f>
        <v/>
      </c>
      <c r="AP9" s="12">
        <f>IF(AP2=EXIT_M,AP5,0)</f>
        <v/>
      </c>
      <c r="AQ9" s="12">
        <f>IF(AQ2=EXIT_M,AQ5,0)</f>
        <v/>
      </c>
      <c r="AR9" s="12">
        <f>IF(AR2=EXIT_M,AR5,0)</f>
        <v/>
      </c>
      <c r="AS9" s="12">
        <f>IF(AS2=EXIT_M,AS5,0)</f>
        <v/>
      </c>
      <c r="AT9" s="12">
        <f>IF(AT2=EXIT_M,AT5,0)</f>
        <v/>
      </c>
      <c r="AU9" s="12">
        <f>IF(AU2=EXIT_M,AU5,0)</f>
        <v/>
      </c>
      <c r="AV9" s="12">
        <f>IF(AV2=EXIT_M,AV5,0)</f>
        <v/>
      </c>
      <c r="AW9" s="12">
        <f>IF(AW2=EXIT_M,AW5,0)</f>
        <v/>
      </c>
      <c r="AX9" s="12">
        <f>IF(AX2=EXIT_M,AX5,0)</f>
        <v/>
      </c>
      <c r="AY9" s="12">
        <f>IF(AY2=EXIT_M,AY5,0)</f>
        <v/>
      </c>
      <c r="AZ9" s="12">
        <f>IF(AZ2=EXIT_M,AZ5,0)</f>
        <v/>
      </c>
      <c r="BA9" s="12">
        <f>IF(BA2=EXIT_M,BA5,0)</f>
        <v/>
      </c>
      <c r="BB9" s="12">
        <f>IF(BB2=EXIT_M,BB5,0)</f>
        <v/>
      </c>
      <c r="BC9" s="12">
        <f>IF(BC2=EXIT_M,BC5,0)</f>
        <v/>
      </c>
      <c r="BD9" s="12">
        <f>IF(BD2=EXIT_M,BD5,0)</f>
        <v/>
      </c>
      <c r="BE9" s="12">
        <f>IF(BE2=EXIT_M,BE5,0)</f>
        <v/>
      </c>
      <c r="BF9" s="12">
        <f>IF(BF2=EXIT_M,BF5,0)</f>
        <v/>
      </c>
      <c r="BG9" s="12">
        <f>IF(BG2=EXIT_M,BG5,0)</f>
        <v/>
      </c>
      <c r="BH9" s="12">
        <f>IF(BH2=EXIT_M,BH5,0)</f>
        <v/>
      </c>
      <c r="BI9" s="12">
        <f>IF(BI2=EXIT_M,BI5,0)</f>
        <v/>
      </c>
      <c r="BJ9" s="12">
        <f>IF(BJ2=EXIT_M,BJ5,0)</f>
        <v/>
      </c>
      <c r="BK9" s="12">
        <f>IF(BK2=EXIT_M,BK5,0)</f>
        <v/>
      </c>
      <c r="BL9" s="12">
        <f>IF(BL2=EXIT_M,BL5,0)</f>
        <v/>
      </c>
      <c r="BM9" s="12">
        <f>IF(BM2=EXIT_M,BM5,0)</f>
        <v/>
      </c>
      <c r="BN9" s="12">
        <f>IF(BN2=EXIT_M,BN5,0)</f>
        <v/>
      </c>
      <c r="BO9" s="12">
        <f>IF(BO2=EXIT_M,BO5,0)</f>
        <v/>
      </c>
      <c r="BP9" s="12">
        <f>IF(BP2=EXIT_M,BP5,0)</f>
        <v/>
      </c>
      <c r="BQ9" s="12">
        <f>IF(BQ2=EXIT_M,BQ5,0)</f>
        <v/>
      </c>
      <c r="BR9" s="12">
        <f>IF(BR2=EXIT_M,BR5,0)</f>
        <v/>
      </c>
      <c r="BS9" s="12">
        <f>IF(BS2=EXIT_M,BS5,0)</f>
        <v/>
      </c>
      <c r="BT9" s="12">
        <f>IF(BT2=EXIT_M,BT5,0)</f>
        <v/>
      </c>
      <c r="BU9" s="12">
        <f>IF(BU2=EXIT_M,BU5,0)</f>
        <v/>
      </c>
      <c r="BV9" s="12">
        <f>IF(BV2=EXIT_M,BV5,0)</f>
        <v/>
      </c>
      <c r="BW9" s="12">
        <f>IF(BW2=EXIT_M,BW5,0)</f>
        <v/>
      </c>
      <c r="BX9" s="12">
        <f>IF(BX2=EXIT_M,BX5,0)</f>
        <v/>
      </c>
      <c r="BY9" s="12">
        <f>IF(BY2=EXIT_M,BY5,0)</f>
        <v/>
      </c>
      <c r="BZ9" s="12">
        <f>IF(BZ2=EXIT_M,BZ5,0)</f>
        <v/>
      </c>
      <c r="CA9" s="12">
        <f>IF(CA2=EXIT_M,CA5,0)</f>
        <v/>
      </c>
      <c r="CB9" s="12">
        <f>IF(CB2=EXIT_M,CB5,0)</f>
        <v/>
      </c>
      <c r="CC9" s="12">
        <f>IF(CC2=EXIT_M,CC5,0)</f>
        <v/>
      </c>
      <c r="CD9" s="12">
        <f>IF(CD2=EXIT_M,CD5,0)</f>
        <v/>
      </c>
      <c r="CE9" s="12">
        <f>IF(CE2=EXIT_M,CE5,0)</f>
        <v/>
      </c>
      <c r="CF9" s="12">
        <f>IF(CF2=EXIT_M,CF5,0)</f>
        <v/>
      </c>
      <c r="CG9" s="12">
        <f>IF(CG2=EXIT_M,CG5,0)</f>
        <v/>
      </c>
      <c r="CH9" s="12">
        <f>IF(CH2=EXIT_M,CH5,0)</f>
        <v/>
      </c>
    </row>
    <row r="10">
      <c r="A10" s="3" t="inlineStr">
        <is>
          <t>Debt service excluding balloon</t>
        </is>
      </c>
      <c r="B10" s="4" t="inlineStr">
        <is>
          <t>$</t>
        </is>
      </c>
      <c r="C10" s="12">
        <f>C6+C8</f>
        <v/>
      </c>
      <c r="D10" s="12">
        <f>D6+D8</f>
        <v/>
      </c>
      <c r="E10" s="12">
        <f>E6+E8</f>
        <v/>
      </c>
      <c r="F10" s="12">
        <f>F6+F8</f>
        <v/>
      </c>
      <c r="G10" s="12">
        <f>G6+G8</f>
        <v/>
      </c>
      <c r="H10" s="12">
        <f>H6+H8</f>
        <v/>
      </c>
      <c r="I10" s="12">
        <f>I6+I8</f>
        <v/>
      </c>
      <c r="J10" s="12">
        <f>J6+J8</f>
        <v/>
      </c>
      <c r="K10" s="12">
        <f>K6+K8</f>
        <v/>
      </c>
      <c r="L10" s="12">
        <f>L6+L8</f>
        <v/>
      </c>
      <c r="M10" s="12">
        <f>M6+M8</f>
        <v/>
      </c>
      <c r="N10" s="12">
        <f>N6+N8</f>
        <v/>
      </c>
      <c r="O10" s="12">
        <f>O6+O8</f>
        <v/>
      </c>
      <c r="P10" s="12">
        <f>P6+P8</f>
        <v/>
      </c>
      <c r="Q10" s="12">
        <f>Q6+Q8</f>
        <v/>
      </c>
      <c r="R10" s="12">
        <f>R6+R8</f>
        <v/>
      </c>
      <c r="S10" s="12">
        <f>S6+S8</f>
        <v/>
      </c>
      <c r="T10" s="12">
        <f>T6+T8</f>
        <v/>
      </c>
      <c r="U10" s="12">
        <f>U6+U8</f>
        <v/>
      </c>
      <c r="V10" s="12">
        <f>V6+V8</f>
        <v/>
      </c>
      <c r="W10" s="12">
        <f>W6+W8</f>
        <v/>
      </c>
      <c r="X10" s="12">
        <f>X6+X8</f>
        <v/>
      </c>
      <c r="Y10" s="12">
        <f>Y6+Y8</f>
        <v/>
      </c>
      <c r="Z10" s="12">
        <f>Z6+Z8</f>
        <v/>
      </c>
      <c r="AA10" s="12">
        <f>AA6+AA8</f>
        <v/>
      </c>
      <c r="AB10" s="12">
        <f>AB6+AB8</f>
        <v/>
      </c>
      <c r="AC10" s="12">
        <f>AC6+AC8</f>
        <v/>
      </c>
      <c r="AD10" s="12">
        <f>AD6+AD8</f>
        <v/>
      </c>
      <c r="AE10" s="12">
        <f>AE6+AE8</f>
        <v/>
      </c>
      <c r="AF10" s="12">
        <f>AF6+AF8</f>
        <v/>
      </c>
      <c r="AG10" s="12">
        <f>AG6+AG8</f>
        <v/>
      </c>
      <c r="AH10" s="12">
        <f>AH6+AH8</f>
        <v/>
      </c>
      <c r="AI10" s="12">
        <f>AI6+AI8</f>
        <v/>
      </c>
      <c r="AJ10" s="12">
        <f>AJ6+AJ8</f>
        <v/>
      </c>
      <c r="AK10" s="12">
        <f>AK6+AK8</f>
        <v/>
      </c>
      <c r="AL10" s="12">
        <f>AL6+AL8</f>
        <v/>
      </c>
      <c r="AM10" s="12">
        <f>AM6+AM8</f>
        <v/>
      </c>
      <c r="AN10" s="12">
        <f>AN6+AN8</f>
        <v/>
      </c>
      <c r="AO10" s="12">
        <f>AO6+AO8</f>
        <v/>
      </c>
      <c r="AP10" s="12">
        <f>AP6+AP8</f>
        <v/>
      </c>
      <c r="AQ10" s="12">
        <f>AQ6+AQ8</f>
        <v/>
      </c>
      <c r="AR10" s="12">
        <f>AR6+AR8</f>
        <v/>
      </c>
      <c r="AS10" s="12">
        <f>AS6+AS8</f>
        <v/>
      </c>
      <c r="AT10" s="12">
        <f>AT6+AT8</f>
        <v/>
      </c>
      <c r="AU10" s="12">
        <f>AU6+AU8</f>
        <v/>
      </c>
      <c r="AV10" s="12">
        <f>AV6+AV8</f>
        <v/>
      </c>
      <c r="AW10" s="12">
        <f>AW6+AW8</f>
        <v/>
      </c>
      <c r="AX10" s="12">
        <f>AX6+AX8</f>
        <v/>
      </c>
      <c r="AY10" s="12">
        <f>AY6+AY8</f>
        <v/>
      </c>
      <c r="AZ10" s="12">
        <f>AZ6+AZ8</f>
        <v/>
      </c>
      <c r="BA10" s="12">
        <f>BA6+BA8</f>
        <v/>
      </c>
      <c r="BB10" s="12">
        <f>BB6+BB8</f>
        <v/>
      </c>
      <c r="BC10" s="12">
        <f>BC6+BC8</f>
        <v/>
      </c>
      <c r="BD10" s="12">
        <f>BD6+BD8</f>
        <v/>
      </c>
      <c r="BE10" s="12">
        <f>BE6+BE8</f>
        <v/>
      </c>
      <c r="BF10" s="12">
        <f>BF6+BF8</f>
        <v/>
      </c>
      <c r="BG10" s="12">
        <f>BG6+BG8</f>
        <v/>
      </c>
      <c r="BH10" s="12">
        <f>BH6+BH8</f>
        <v/>
      </c>
      <c r="BI10" s="12">
        <f>BI6+BI8</f>
        <v/>
      </c>
      <c r="BJ10" s="12">
        <f>BJ6+BJ8</f>
        <v/>
      </c>
      <c r="BK10" s="12">
        <f>BK6+BK8</f>
        <v/>
      </c>
      <c r="BL10" s="12">
        <f>BL6+BL8</f>
        <v/>
      </c>
      <c r="BM10" s="12">
        <f>BM6+BM8</f>
        <v/>
      </c>
      <c r="BN10" s="12">
        <f>BN6+BN8</f>
        <v/>
      </c>
      <c r="BO10" s="12">
        <f>BO6+BO8</f>
        <v/>
      </c>
      <c r="BP10" s="12">
        <f>BP6+BP8</f>
        <v/>
      </c>
      <c r="BQ10" s="12">
        <f>BQ6+BQ8</f>
        <v/>
      </c>
      <c r="BR10" s="12">
        <f>BR6+BR8</f>
        <v/>
      </c>
      <c r="BS10" s="12">
        <f>BS6+BS8</f>
        <v/>
      </c>
      <c r="BT10" s="12">
        <f>BT6+BT8</f>
        <v/>
      </c>
      <c r="BU10" s="12">
        <f>BU6+BU8</f>
        <v/>
      </c>
      <c r="BV10" s="12">
        <f>BV6+BV8</f>
        <v/>
      </c>
      <c r="BW10" s="12">
        <f>BW6+BW8</f>
        <v/>
      </c>
      <c r="BX10" s="12">
        <f>BX6+BX8</f>
        <v/>
      </c>
      <c r="BY10" s="12">
        <f>BY6+BY8</f>
        <v/>
      </c>
      <c r="BZ10" s="12">
        <f>BZ6+BZ8</f>
        <v/>
      </c>
      <c r="CA10" s="12">
        <f>CA6+CA8</f>
        <v/>
      </c>
      <c r="CB10" s="12">
        <f>CB6+CB8</f>
        <v/>
      </c>
      <c r="CC10" s="12">
        <f>CC6+CC8</f>
        <v/>
      </c>
      <c r="CD10" s="12">
        <f>CD6+CD8</f>
        <v/>
      </c>
      <c r="CE10" s="12">
        <f>CE6+CE8</f>
        <v/>
      </c>
      <c r="CF10" s="12">
        <f>CF6+CF8</f>
        <v/>
      </c>
      <c r="CG10" s="12">
        <f>CG6+CG8</f>
        <v/>
      </c>
      <c r="CH10" s="12">
        <f>CH6+CH8</f>
        <v/>
      </c>
    </row>
    <row r="11">
      <c r="A11" s="3" t="inlineStr">
        <is>
          <t>Construction balance repaid</t>
        </is>
      </c>
      <c r="B11" s="4" t="inlineStr">
        <is>
          <t>$</t>
        </is>
      </c>
      <c r="C11" s="12">
        <f>ConstructionDebt!C19</f>
        <v/>
      </c>
      <c r="D11" s="12">
        <f>ConstructionDebt!D19</f>
        <v/>
      </c>
      <c r="E11" s="12">
        <f>ConstructionDebt!E19</f>
        <v/>
      </c>
      <c r="F11" s="12">
        <f>ConstructionDebt!F19</f>
        <v/>
      </c>
      <c r="G11" s="12">
        <f>ConstructionDebt!G19</f>
        <v/>
      </c>
      <c r="H11" s="12">
        <f>ConstructionDebt!H19</f>
        <v/>
      </c>
      <c r="I11" s="12">
        <f>ConstructionDebt!I19</f>
        <v/>
      </c>
      <c r="J11" s="12">
        <f>ConstructionDebt!J19</f>
        <v/>
      </c>
      <c r="K11" s="12">
        <f>ConstructionDebt!K19</f>
        <v/>
      </c>
      <c r="L11" s="12">
        <f>ConstructionDebt!L19</f>
        <v/>
      </c>
      <c r="M11" s="12">
        <f>ConstructionDebt!M19</f>
        <v/>
      </c>
      <c r="N11" s="12">
        <f>ConstructionDebt!N19</f>
        <v/>
      </c>
      <c r="O11" s="12">
        <f>ConstructionDebt!O19</f>
        <v/>
      </c>
      <c r="P11" s="12">
        <f>ConstructionDebt!P19</f>
        <v/>
      </c>
      <c r="Q11" s="12">
        <f>ConstructionDebt!Q19</f>
        <v/>
      </c>
      <c r="R11" s="12">
        <f>ConstructionDebt!R19</f>
        <v/>
      </c>
      <c r="S11" s="12">
        <f>ConstructionDebt!S19</f>
        <v/>
      </c>
      <c r="T11" s="12">
        <f>ConstructionDebt!T19</f>
        <v/>
      </c>
      <c r="U11" s="12">
        <f>ConstructionDebt!U19</f>
        <v/>
      </c>
      <c r="V11" s="12">
        <f>ConstructionDebt!V19</f>
        <v/>
      </c>
      <c r="W11" s="12">
        <f>ConstructionDebt!W19</f>
        <v/>
      </c>
      <c r="X11" s="12">
        <f>ConstructionDebt!X19</f>
        <v/>
      </c>
      <c r="Y11" s="12">
        <f>ConstructionDebt!Y19</f>
        <v/>
      </c>
      <c r="Z11" s="12">
        <f>ConstructionDebt!Z19</f>
        <v/>
      </c>
      <c r="AA11" s="12">
        <f>ConstructionDebt!AA19</f>
        <v/>
      </c>
      <c r="AB11" s="12">
        <f>ConstructionDebt!AB19</f>
        <v/>
      </c>
      <c r="AC11" s="12">
        <f>ConstructionDebt!AC19</f>
        <v/>
      </c>
      <c r="AD11" s="12">
        <f>ConstructionDebt!AD19</f>
        <v/>
      </c>
      <c r="AE11" s="12">
        <f>ConstructionDebt!AE19</f>
        <v/>
      </c>
      <c r="AF11" s="12">
        <f>ConstructionDebt!AF19</f>
        <v/>
      </c>
      <c r="AG11" s="12">
        <f>ConstructionDebt!AG19</f>
        <v/>
      </c>
      <c r="AH11" s="12">
        <f>ConstructionDebt!AH19</f>
        <v/>
      </c>
      <c r="AI11" s="12">
        <f>ConstructionDebt!AI19</f>
        <v/>
      </c>
      <c r="AJ11" s="12">
        <f>ConstructionDebt!AJ19</f>
        <v/>
      </c>
      <c r="AK11" s="12">
        <f>ConstructionDebt!AK19</f>
        <v/>
      </c>
      <c r="AL11" s="12">
        <f>ConstructionDebt!AL19</f>
        <v/>
      </c>
      <c r="AM11" s="12">
        <f>ConstructionDebt!AM19</f>
        <v/>
      </c>
      <c r="AN11" s="12">
        <f>ConstructionDebt!AN19</f>
        <v/>
      </c>
      <c r="AO11" s="12">
        <f>ConstructionDebt!AO19</f>
        <v/>
      </c>
      <c r="AP11" s="12">
        <f>ConstructionDebt!AP19</f>
        <v/>
      </c>
      <c r="AQ11" s="12">
        <f>ConstructionDebt!AQ19</f>
        <v/>
      </c>
      <c r="AR11" s="12">
        <f>ConstructionDebt!AR19</f>
        <v/>
      </c>
      <c r="AS11" s="12">
        <f>ConstructionDebt!AS19</f>
        <v/>
      </c>
      <c r="AT11" s="12">
        <f>ConstructionDebt!AT19</f>
        <v/>
      </c>
      <c r="AU11" s="12">
        <f>ConstructionDebt!AU19</f>
        <v/>
      </c>
      <c r="AV11" s="12">
        <f>ConstructionDebt!AV19</f>
        <v/>
      </c>
      <c r="AW11" s="12">
        <f>ConstructionDebt!AW19</f>
        <v/>
      </c>
      <c r="AX11" s="12">
        <f>ConstructionDebt!AX19</f>
        <v/>
      </c>
      <c r="AY11" s="12">
        <f>ConstructionDebt!AY19</f>
        <v/>
      </c>
      <c r="AZ11" s="12">
        <f>ConstructionDebt!AZ19</f>
        <v/>
      </c>
      <c r="BA11" s="12">
        <f>ConstructionDebt!BA19</f>
        <v/>
      </c>
      <c r="BB11" s="12">
        <f>ConstructionDebt!BB19</f>
        <v/>
      </c>
      <c r="BC11" s="12">
        <f>ConstructionDebt!BC19</f>
        <v/>
      </c>
      <c r="BD11" s="12">
        <f>ConstructionDebt!BD19</f>
        <v/>
      </c>
      <c r="BE11" s="12">
        <f>ConstructionDebt!BE19</f>
        <v/>
      </c>
      <c r="BF11" s="12">
        <f>ConstructionDebt!BF19</f>
        <v/>
      </c>
      <c r="BG11" s="12">
        <f>ConstructionDebt!BG19</f>
        <v/>
      </c>
      <c r="BH11" s="12">
        <f>ConstructionDebt!BH19</f>
        <v/>
      </c>
      <c r="BI11" s="12">
        <f>ConstructionDebt!BI19</f>
        <v/>
      </c>
      <c r="BJ11" s="12">
        <f>ConstructionDebt!BJ19</f>
        <v/>
      </c>
      <c r="BK11" s="12">
        <f>ConstructionDebt!BK19</f>
        <v/>
      </c>
      <c r="BL11" s="12">
        <f>ConstructionDebt!BL19</f>
        <v/>
      </c>
      <c r="BM11" s="12">
        <f>ConstructionDebt!BM19</f>
        <v/>
      </c>
      <c r="BN11" s="12">
        <f>ConstructionDebt!BN19</f>
        <v/>
      </c>
      <c r="BO11" s="12">
        <f>ConstructionDebt!BO19</f>
        <v/>
      </c>
      <c r="BP11" s="12">
        <f>ConstructionDebt!BP19</f>
        <v/>
      </c>
      <c r="BQ11" s="12">
        <f>ConstructionDebt!BQ19</f>
        <v/>
      </c>
      <c r="BR11" s="12">
        <f>ConstructionDebt!BR19</f>
        <v/>
      </c>
      <c r="BS11" s="12">
        <f>ConstructionDebt!BS19</f>
        <v/>
      </c>
      <c r="BT11" s="12">
        <f>ConstructionDebt!BT19</f>
        <v/>
      </c>
      <c r="BU11" s="12">
        <f>ConstructionDebt!BU19</f>
        <v/>
      </c>
      <c r="BV11" s="12">
        <f>ConstructionDebt!BV19</f>
        <v/>
      </c>
      <c r="BW11" s="12">
        <f>ConstructionDebt!BW19</f>
        <v/>
      </c>
      <c r="BX11" s="12">
        <f>ConstructionDebt!BX19</f>
        <v/>
      </c>
      <c r="BY11" s="12">
        <f>ConstructionDebt!BY19</f>
        <v/>
      </c>
      <c r="BZ11" s="12">
        <f>ConstructionDebt!BZ19</f>
        <v/>
      </c>
      <c r="CA11" s="12">
        <f>ConstructionDebt!CA19</f>
        <v/>
      </c>
      <c r="CB11" s="12">
        <f>ConstructionDebt!CB19</f>
        <v/>
      </c>
      <c r="CC11" s="12">
        <f>ConstructionDebt!CC19</f>
        <v/>
      </c>
      <c r="CD11" s="12">
        <f>ConstructionDebt!CD19</f>
        <v/>
      </c>
      <c r="CE11" s="12">
        <f>ConstructionDebt!CE19</f>
        <v/>
      </c>
      <c r="CF11" s="12">
        <f>ConstructionDebt!CF19</f>
        <v/>
      </c>
      <c r="CG11" s="12">
        <f>ConstructionDebt!CG19</f>
        <v/>
      </c>
      <c r="CH11" s="12">
        <f>ConstructionDebt!CH19</f>
        <v/>
      </c>
    </row>
    <row r="12">
      <c r="A12" s="3" t="inlineStr">
        <is>
          <t>Closing balance</t>
        </is>
      </c>
      <c r="B12" s="4" t="inlineStr">
        <is>
          <t>$</t>
        </is>
      </c>
      <c r="C12" s="12">
        <f>C5-C8-C9</f>
        <v/>
      </c>
      <c r="D12" s="12">
        <f>D5-D8-D9</f>
        <v/>
      </c>
      <c r="E12" s="12">
        <f>E5-E8-E9</f>
        <v/>
      </c>
      <c r="F12" s="12">
        <f>F5-F8-F9</f>
        <v/>
      </c>
      <c r="G12" s="12">
        <f>G5-G8-G9</f>
        <v/>
      </c>
      <c r="H12" s="12">
        <f>H5-H8-H9</f>
        <v/>
      </c>
      <c r="I12" s="12">
        <f>I5-I8-I9</f>
        <v/>
      </c>
      <c r="J12" s="12">
        <f>J5-J8-J9</f>
        <v/>
      </c>
      <c r="K12" s="12">
        <f>K5-K8-K9</f>
        <v/>
      </c>
      <c r="L12" s="12">
        <f>L5-L8-L9</f>
        <v/>
      </c>
      <c r="M12" s="12">
        <f>M5-M8-M9</f>
        <v/>
      </c>
      <c r="N12" s="12">
        <f>N5-N8-N9</f>
        <v/>
      </c>
      <c r="O12" s="12">
        <f>O5-O8-O9</f>
        <v/>
      </c>
      <c r="P12" s="12">
        <f>P5-P8-P9</f>
        <v/>
      </c>
      <c r="Q12" s="12">
        <f>Q5-Q8-Q9</f>
        <v/>
      </c>
      <c r="R12" s="12">
        <f>R5-R8-R9</f>
        <v/>
      </c>
      <c r="S12" s="12">
        <f>S5-S8-S9</f>
        <v/>
      </c>
      <c r="T12" s="12">
        <f>T5-T8-T9</f>
        <v/>
      </c>
      <c r="U12" s="12">
        <f>U5-U8-U9</f>
        <v/>
      </c>
      <c r="V12" s="12">
        <f>V5-V8-V9</f>
        <v/>
      </c>
      <c r="W12" s="12">
        <f>W5-W8-W9</f>
        <v/>
      </c>
      <c r="X12" s="12">
        <f>X5-X8-X9</f>
        <v/>
      </c>
      <c r="Y12" s="12">
        <f>Y5-Y8-Y9</f>
        <v/>
      </c>
      <c r="Z12" s="12">
        <f>Z5-Z8-Z9</f>
        <v/>
      </c>
      <c r="AA12" s="12">
        <f>AA5-AA8-AA9</f>
        <v/>
      </c>
      <c r="AB12" s="12">
        <f>AB5-AB8-AB9</f>
        <v/>
      </c>
      <c r="AC12" s="12">
        <f>AC5-AC8-AC9</f>
        <v/>
      </c>
      <c r="AD12" s="12">
        <f>AD5-AD8-AD9</f>
        <v/>
      </c>
      <c r="AE12" s="12">
        <f>AE5-AE8-AE9</f>
        <v/>
      </c>
      <c r="AF12" s="12">
        <f>AF5-AF8-AF9</f>
        <v/>
      </c>
      <c r="AG12" s="12">
        <f>AG5-AG8-AG9</f>
        <v/>
      </c>
      <c r="AH12" s="12">
        <f>AH5-AH8-AH9</f>
        <v/>
      </c>
      <c r="AI12" s="12">
        <f>AI5-AI8-AI9</f>
        <v/>
      </c>
      <c r="AJ12" s="12">
        <f>AJ5-AJ8-AJ9</f>
        <v/>
      </c>
      <c r="AK12" s="12">
        <f>AK5-AK8-AK9</f>
        <v/>
      </c>
      <c r="AL12" s="12">
        <f>AL5-AL8-AL9</f>
        <v/>
      </c>
      <c r="AM12" s="12">
        <f>AM5-AM8-AM9</f>
        <v/>
      </c>
      <c r="AN12" s="12">
        <f>AN5-AN8-AN9</f>
        <v/>
      </c>
      <c r="AO12" s="12">
        <f>AO5-AO8-AO9</f>
        <v/>
      </c>
      <c r="AP12" s="12">
        <f>AP5-AP8-AP9</f>
        <v/>
      </c>
      <c r="AQ12" s="12">
        <f>AQ5-AQ8-AQ9</f>
        <v/>
      </c>
      <c r="AR12" s="12">
        <f>AR5-AR8-AR9</f>
        <v/>
      </c>
      <c r="AS12" s="12">
        <f>AS5-AS8-AS9</f>
        <v/>
      </c>
      <c r="AT12" s="12">
        <f>AT5-AT8-AT9</f>
        <v/>
      </c>
      <c r="AU12" s="12">
        <f>AU5-AU8-AU9</f>
        <v/>
      </c>
      <c r="AV12" s="12">
        <f>AV5-AV8-AV9</f>
        <v/>
      </c>
      <c r="AW12" s="12">
        <f>AW5-AW8-AW9</f>
        <v/>
      </c>
      <c r="AX12" s="12">
        <f>AX5-AX8-AX9</f>
        <v/>
      </c>
      <c r="AY12" s="12">
        <f>AY5-AY8-AY9</f>
        <v/>
      </c>
      <c r="AZ12" s="12">
        <f>AZ5-AZ8-AZ9</f>
        <v/>
      </c>
      <c r="BA12" s="12">
        <f>BA5-BA8-BA9</f>
        <v/>
      </c>
      <c r="BB12" s="12">
        <f>BB5-BB8-BB9</f>
        <v/>
      </c>
      <c r="BC12" s="12">
        <f>BC5-BC8-BC9</f>
        <v/>
      </c>
      <c r="BD12" s="12">
        <f>BD5-BD8-BD9</f>
        <v/>
      </c>
      <c r="BE12" s="12">
        <f>BE5-BE8-BE9</f>
        <v/>
      </c>
      <c r="BF12" s="12">
        <f>BF5-BF8-BF9</f>
        <v/>
      </c>
      <c r="BG12" s="12">
        <f>BG5-BG8-BG9</f>
        <v/>
      </c>
      <c r="BH12" s="12">
        <f>BH5-BH8-BH9</f>
        <v/>
      </c>
      <c r="BI12" s="12">
        <f>BI5-BI8-BI9</f>
        <v/>
      </c>
      <c r="BJ12" s="12">
        <f>BJ5-BJ8-BJ9</f>
        <v/>
      </c>
      <c r="BK12" s="12">
        <f>BK5-BK8-BK9</f>
        <v/>
      </c>
      <c r="BL12" s="12">
        <f>BL5-BL8-BL9</f>
        <v/>
      </c>
      <c r="BM12" s="12">
        <f>BM5-BM8-BM9</f>
        <v/>
      </c>
      <c r="BN12" s="12">
        <f>BN5-BN8-BN9</f>
        <v/>
      </c>
      <c r="BO12" s="12">
        <f>BO5-BO8-BO9</f>
        <v/>
      </c>
      <c r="BP12" s="12">
        <f>BP5-BP8-BP9</f>
        <v/>
      </c>
      <c r="BQ12" s="12">
        <f>BQ5-BQ8-BQ9</f>
        <v/>
      </c>
      <c r="BR12" s="12">
        <f>BR5-BR8-BR9</f>
        <v/>
      </c>
      <c r="BS12" s="12">
        <f>BS5-BS8-BS9</f>
        <v/>
      </c>
      <c r="BT12" s="12">
        <f>BT5-BT8-BT9</f>
        <v/>
      </c>
      <c r="BU12" s="12">
        <f>BU5-BU8-BU9</f>
        <v/>
      </c>
      <c r="BV12" s="12">
        <f>BV5-BV8-BV9</f>
        <v/>
      </c>
      <c r="BW12" s="12">
        <f>BW5-BW8-BW9</f>
        <v/>
      </c>
      <c r="BX12" s="12">
        <f>BX5-BX8-BX9</f>
        <v/>
      </c>
      <c r="BY12" s="12">
        <f>BY5-BY8-BY9</f>
        <v/>
      </c>
      <c r="BZ12" s="12">
        <f>BZ5-BZ8-BZ9</f>
        <v/>
      </c>
      <c r="CA12" s="12">
        <f>CA5-CA8-CA9</f>
        <v/>
      </c>
      <c r="CB12" s="12">
        <f>CB5-CB8-CB9</f>
        <v/>
      </c>
      <c r="CC12" s="12">
        <f>CC5-CC8-CC9</f>
        <v/>
      </c>
      <c r="CD12" s="12">
        <f>CD5-CD8-CD9</f>
        <v/>
      </c>
      <c r="CE12" s="12">
        <f>CE5-CE8-CE9</f>
        <v/>
      </c>
      <c r="CF12" s="12">
        <f>CF5-CF8-CF9</f>
        <v/>
      </c>
      <c r="CG12" s="12">
        <f>CG5-CG8-CG9</f>
        <v/>
      </c>
      <c r="CH12" s="12">
        <f>CH5-CH8-CH9</f>
        <v/>
      </c>
    </row>
    <row r="13">
      <c r="A13" s="3" t="inlineStr">
        <is>
          <t>Net refinance proceeds</t>
        </is>
      </c>
      <c r="B13" s="4" t="inlineStr">
        <is>
          <t>$</t>
        </is>
      </c>
      <c r="C13" s="12">
        <f>IF(C2=PERM_CONV_M,$C$39*(1-PERM_COSTS_PCT)-C11,0)</f>
        <v/>
      </c>
      <c r="D13" s="12">
        <f>IF(D2=PERM_CONV_M,$C$39*(1-PERM_COSTS_PCT)-D11,0)</f>
        <v/>
      </c>
      <c r="E13" s="12">
        <f>IF(E2=PERM_CONV_M,$C$39*(1-PERM_COSTS_PCT)-E11,0)</f>
        <v/>
      </c>
      <c r="F13" s="12">
        <f>IF(F2=PERM_CONV_M,$C$39*(1-PERM_COSTS_PCT)-F11,0)</f>
        <v/>
      </c>
      <c r="G13" s="12">
        <f>IF(G2=PERM_CONV_M,$C$39*(1-PERM_COSTS_PCT)-G11,0)</f>
        <v/>
      </c>
      <c r="H13" s="12">
        <f>IF(H2=PERM_CONV_M,$C$39*(1-PERM_COSTS_PCT)-H11,0)</f>
        <v/>
      </c>
      <c r="I13" s="12">
        <f>IF(I2=PERM_CONV_M,$C$39*(1-PERM_COSTS_PCT)-I11,0)</f>
        <v/>
      </c>
      <c r="J13" s="12">
        <f>IF(J2=PERM_CONV_M,$C$39*(1-PERM_COSTS_PCT)-J11,0)</f>
        <v/>
      </c>
      <c r="K13" s="12">
        <f>IF(K2=PERM_CONV_M,$C$39*(1-PERM_COSTS_PCT)-K11,0)</f>
        <v/>
      </c>
      <c r="L13" s="12">
        <f>IF(L2=PERM_CONV_M,$C$39*(1-PERM_COSTS_PCT)-L11,0)</f>
        <v/>
      </c>
      <c r="M13" s="12">
        <f>IF(M2=PERM_CONV_M,$C$39*(1-PERM_COSTS_PCT)-M11,0)</f>
        <v/>
      </c>
      <c r="N13" s="12">
        <f>IF(N2=PERM_CONV_M,$C$39*(1-PERM_COSTS_PCT)-N11,0)</f>
        <v/>
      </c>
      <c r="O13" s="12">
        <f>IF(O2=PERM_CONV_M,$C$39*(1-PERM_COSTS_PCT)-O11,0)</f>
        <v/>
      </c>
      <c r="P13" s="12">
        <f>IF(P2=PERM_CONV_M,$C$39*(1-PERM_COSTS_PCT)-P11,0)</f>
        <v/>
      </c>
      <c r="Q13" s="12">
        <f>IF(Q2=PERM_CONV_M,$C$39*(1-PERM_COSTS_PCT)-Q11,0)</f>
        <v/>
      </c>
      <c r="R13" s="12">
        <f>IF(R2=PERM_CONV_M,$C$39*(1-PERM_COSTS_PCT)-R11,0)</f>
        <v/>
      </c>
      <c r="S13" s="12">
        <f>IF(S2=PERM_CONV_M,$C$39*(1-PERM_COSTS_PCT)-S11,0)</f>
        <v/>
      </c>
      <c r="T13" s="12">
        <f>IF(T2=PERM_CONV_M,$C$39*(1-PERM_COSTS_PCT)-T11,0)</f>
        <v/>
      </c>
      <c r="U13" s="12">
        <f>IF(U2=PERM_CONV_M,$C$39*(1-PERM_COSTS_PCT)-U11,0)</f>
        <v/>
      </c>
      <c r="V13" s="12">
        <f>IF(V2=PERM_CONV_M,$C$39*(1-PERM_COSTS_PCT)-V11,0)</f>
        <v/>
      </c>
      <c r="W13" s="12">
        <f>IF(W2=PERM_CONV_M,$C$39*(1-PERM_COSTS_PCT)-W11,0)</f>
        <v/>
      </c>
      <c r="X13" s="12">
        <f>IF(X2=PERM_CONV_M,$C$39*(1-PERM_COSTS_PCT)-X11,0)</f>
        <v/>
      </c>
      <c r="Y13" s="12">
        <f>IF(Y2=PERM_CONV_M,$C$39*(1-PERM_COSTS_PCT)-Y11,0)</f>
        <v/>
      </c>
      <c r="Z13" s="12">
        <f>IF(Z2=PERM_CONV_M,$C$39*(1-PERM_COSTS_PCT)-Z11,0)</f>
        <v/>
      </c>
      <c r="AA13" s="12">
        <f>IF(AA2=PERM_CONV_M,$C$39*(1-PERM_COSTS_PCT)-AA11,0)</f>
        <v/>
      </c>
      <c r="AB13" s="12">
        <f>IF(AB2=PERM_CONV_M,$C$39*(1-PERM_COSTS_PCT)-AB11,0)</f>
        <v/>
      </c>
      <c r="AC13" s="12">
        <f>IF(AC2=PERM_CONV_M,$C$39*(1-PERM_COSTS_PCT)-AC11,0)</f>
        <v/>
      </c>
      <c r="AD13" s="12">
        <f>IF(AD2=PERM_CONV_M,$C$39*(1-PERM_COSTS_PCT)-AD11,0)</f>
        <v/>
      </c>
      <c r="AE13" s="12">
        <f>IF(AE2=PERM_CONV_M,$C$39*(1-PERM_COSTS_PCT)-AE11,0)</f>
        <v/>
      </c>
      <c r="AF13" s="12">
        <f>IF(AF2=PERM_CONV_M,$C$39*(1-PERM_COSTS_PCT)-AF11,0)</f>
        <v/>
      </c>
      <c r="AG13" s="12">
        <f>IF(AG2=PERM_CONV_M,$C$39*(1-PERM_COSTS_PCT)-AG11,0)</f>
        <v/>
      </c>
      <c r="AH13" s="12">
        <f>IF(AH2=PERM_CONV_M,$C$39*(1-PERM_COSTS_PCT)-AH11,0)</f>
        <v/>
      </c>
      <c r="AI13" s="12">
        <f>IF(AI2=PERM_CONV_M,$C$39*(1-PERM_COSTS_PCT)-AI11,0)</f>
        <v/>
      </c>
      <c r="AJ13" s="12">
        <f>IF(AJ2=PERM_CONV_M,$C$39*(1-PERM_COSTS_PCT)-AJ11,0)</f>
        <v/>
      </c>
      <c r="AK13" s="12">
        <f>IF(AK2=PERM_CONV_M,$C$39*(1-PERM_COSTS_PCT)-AK11,0)</f>
        <v/>
      </c>
      <c r="AL13" s="12">
        <f>IF(AL2=PERM_CONV_M,$C$39*(1-PERM_COSTS_PCT)-AL11,0)</f>
        <v/>
      </c>
      <c r="AM13" s="12">
        <f>IF(AM2=PERM_CONV_M,$C$39*(1-PERM_COSTS_PCT)-AM11,0)</f>
        <v/>
      </c>
      <c r="AN13" s="12">
        <f>IF(AN2=PERM_CONV_M,$C$39*(1-PERM_COSTS_PCT)-AN11,0)</f>
        <v/>
      </c>
      <c r="AO13" s="12">
        <f>IF(AO2=PERM_CONV_M,$C$39*(1-PERM_COSTS_PCT)-AO11,0)</f>
        <v/>
      </c>
      <c r="AP13" s="12">
        <f>IF(AP2=PERM_CONV_M,$C$39*(1-PERM_COSTS_PCT)-AP11,0)</f>
        <v/>
      </c>
      <c r="AQ13" s="12">
        <f>IF(AQ2=PERM_CONV_M,$C$39*(1-PERM_COSTS_PCT)-AQ11,0)</f>
        <v/>
      </c>
      <c r="AR13" s="12">
        <f>IF(AR2=PERM_CONV_M,$C$39*(1-PERM_COSTS_PCT)-AR11,0)</f>
        <v/>
      </c>
      <c r="AS13" s="12">
        <f>IF(AS2=PERM_CONV_M,$C$39*(1-PERM_COSTS_PCT)-AS11,0)</f>
        <v/>
      </c>
      <c r="AT13" s="12">
        <f>IF(AT2=PERM_CONV_M,$C$39*(1-PERM_COSTS_PCT)-AT11,0)</f>
        <v/>
      </c>
      <c r="AU13" s="12">
        <f>IF(AU2=PERM_CONV_M,$C$39*(1-PERM_COSTS_PCT)-AU11,0)</f>
        <v/>
      </c>
      <c r="AV13" s="12">
        <f>IF(AV2=PERM_CONV_M,$C$39*(1-PERM_COSTS_PCT)-AV11,0)</f>
        <v/>
      </c>
      <c r="AW13" s="12">
        <f>IF(AW2=PERM_CONV_M,$C$39*(1-PERM_COSTS_PCT)-AW11,0)</f>
        <v/>
      </c>
      <c r="AX13" s="12">
        <f>IF(AX2=PERM_CONV_M,$C$39*(1-PERM_COSTS_PCT)-AX11,0)</f>
        <v/>
      </c>
      <c r="AY13" s="12">
        <f>IF(AY2=PERM_CONV_M,$C$39*(1-PERM_COSTS_PCT)-AY11,0)</f>
        <v/>
      </c>
      <c r="AZ13" s="12">
        <f>IF(AZ2=PERM_CONV_M,$C$39*(1-PERM_COSTS_PCT)-AZ11,0)</f>
        <v/>
      </c>
      <c r="BA13" s="12">
        <f>IF(BA2=PERM_CONV_M,$C$39*(1-PERM_COSTS_PCT)-BA11,0)</f>
        <v/>
      </c>
      <c r="BB13" s="12">
        <f>IF(BB2=PERM_CONV_M,$C$39*(1-PERM_COSTS_PCT)-BB11,0)</f>
        <v/>
      </c>
      <c r="BC13" s="12">
        <f>IF(BC2=PERM_CONV_M,$C$39*(1-PERM_COSTS_PCT)-BC11,0)</f>
        <v/>
      </c>
      <c r="BD13" s="12">
        <f>IF(BD2=PERM_CONV_M,$C$39*(1-PERM_COSTS_PCT)-BD11,0)</f>
        <v/>
      </c>
      <c r="BE13" s="12">
        <f>IF(BE2=PERM_CONV_M,$C$39*(1-PERM_COSTS_PCT)-BE11,0)</f>
        <v/>
      </c>
      <c r="BF13" s="12">
        <f>IF(BF2=PERM_CONV_M,$C$39*(1-PERM_COSTS_PCT)-BF11,0)</f>
        <v/>
      </c>
      <c r="BG13" s="12">
        <f>IF(BG2=PERM_CONV_M,$C$39*(1-PERM_COSTS_PCT)-BG11,0)</f>
        <v/>
      </c>
      <c r="BH13" s="12">
        <f>IF(BH2=PERM_CONV_M,$C$39*(1-PERM_COSTS_PCT)-BH11,0)</f>
        <v/>
      </c>
      <c r="BI13" s="12">
        <f>IF(BI2=PERM_CONV_M,$C$39*(1-PERM_COSTS_PCT)-BI11,0)</f>
        <v/>
      </c>
      <c r="BJ13" s="12">
        <f>IF(BJ2=PERM_CONV_M,$C$39*(1-PERM_COSTS_PCT)-BJ11,0)</f>
        <v/>
      </c>
      <c r="BK13" s="12">
        <f>IF(BK2=PERM_CONV_M,$C$39*(1-PERM_COSTS_PCT)-BK11,0)</f>
        <v/>
      </c>
      <c r="BL13" s="12">
        <f>IF(BL2=PERM_CONV_M,$C$39*(1-PERM_COSTS_PCT)-BL11,0)</f>
        <v/>
      </c>
      <c r="BM13" s="12">
        <f>IF(BM2=PERM_CONV_M,$C$39*(1-PERM_COSTS_PCT)-BM11,0)</f>
        <v/>
      </c>
      <c r="BN13" s="12">
        <f>IF(BN2=PERM_CONV_M,$C$39*(1-PERM_COSTS_PCT)-BN11,0)</f>
        <v/>
      </c>
      <c r="BO13" s="12">
        <f>IF(BO2=PERM_CONV_M,$C$39*(1-PERM_COSTS_PCT)-BO11,0)</f>
        <v/>
      </c>
      <c r="BP13" s="12">
        <f>IF(BP2=PERM_CONV_M,$C$39*(1-PERM_COSTS_PCT)-BP11,0)</f>
        <v/>
      </c>
      <c r="BQ13" s="12">
        <f>IF(BQ2=PERM_CONV_M,$C$39*(1-PERM_COSTS_PCT)-BQ11,0)</f>
        <v/>
      </c>
      <c r="BR13" s="12">
        <f>IF(BR2=PERM_CONV_M,$C$39*(1-PERM_COSTS_PCT)-BR11,0)</f>
        <v/>
      </c>
      <c r="BS13" s="12">
        <f>IF(BS2=PERM_CONV_M,$C$39*(1-PERM_COSTS_PCT)-BS11,0)</f>
        <v/>
      </c>
      <c r="BT13" s="12">
        <f>IF(BT2=PERM_CONV_M,$C$39*(1-PERM_COSTS_PCT)-BT11,0)</f>
        <v/>
      </c>
      <c r="BU13" s="12">
        <f>IF(BU2=PERM_CONV_M,$C$39*(1-PERM_COSTS_PCT)-BU11,0)</f>
        <v/>
      </c>
      <c r="BV13" s="12">
        <f>IF(BV2=PERM_CONV_M,$C$39*(1-PERM_COSTS_PCT)-BV11,0)</f>
        <v/>
      </c>
      <c r="BW13" s="12">
        <f>IF(BW2=PERM_CONV_M,$C$39*(1-PERM_COSTS_PCT)-BW11,0)</f>
        <v/>
      </c>
      <c r="BX13" s="12">
        <f>IF(BX2=PERM_CONV_M,$C$39*(1-PERM_COSTS_PCT)-BX11,0)</f>
        <v/>
      </c>
      <c r="BY13" s="12">
        <f>IF(BY2=PERM_CONV_M,$C$39*(1-PERM_COSTS_PCT)-BY11,0)</f>
        <v/>
      </c>
      <c r="BZ13" s="12">
        <f>IF(BZ2=PERM_CONV_M,$C$39*(1-PERM_COSTS_PCT)-BZ11,0)</f>
        <v/>
      </c>
      <c r="CA13" s="12">
        <f>IF(CA2=PERM_CONV_M,$C$39*(1-PERM_COSTS_PCT)-CA11,0)</f>
        <v/>
      </c>
      <c r="CB13" s="12">
        <f>IF(CB2=PERM_CONV_M,$C$39*(1-PERM_COSTS_PCT)-CB11,0)</f>
        <v/>
      </c>
      <c r="CC13" s="12">
        <f>IF(CC2=PERM_CONV_M,$C$39*(1-PERM_COSTS_PCT)-CC11,0)</f>
        <v/>
      </c>
      <c r="CD13" s="12">
        <f>IF(CD2=PERM_CONV_M,$C$39*(1-PERM_COSTS_PCT)-CD11,0)</f>
        <v/>
      </c>
      <c r="CE13" s="12">
        <f>IF(CE2=PERM_CONV_M,$C$39*(1-PERM_COSTS_PCT)-CE11,0)</f>
        <v/>
      </c>
      <c r="CF13" s="12">
        <f>IF(CF2=PERM_CONV_M,$C$39*(1-PERM_COSTS_PCT)-CF11,0)</f>
        <v/>
      </c>
      <c r="CG13" s="12">
        <f>IF(CG2=PERM_CONV_M,$C$39*(1-PERM_COSTS_PCT)-CG11,0)</f>
        <v/>
      </c>
      <c r="CH13" s="12">
        <f>IF(CH2=PERM_CONV_M,$C$39*(1-PERM_COSTS_PCT)-CH11,0)</f>
        <v/>
      </c>
    </row>
    <row r="29">
      <c r="A29" s="1" t="inlineStr">
        <is>
          <t>Sizing at conversion, on T12 NOI ending PERM_CONV_M</t>
        </is>
      </c>
    </row>
    <row r="30">
      <c r="A30" s="3" t="inlineStr">
        <is>
          <t>Hotel T12 NOI at conversion</t>
        </is>
      </c>
      <c r="B30" s="4" t="inlineStr">
        <is>
          <t>$</t>
        </is>
      </c>
      <c r="C30" s="12">
        <f>SUM(INDEX(HotelProForma!C11:CH11,PERM_CONV_M-11):INDEX(HotelProForma!C11:CH11,PERM_CONV_M))</f>
        <v/>
      </c>
    </row>
    <row r="31">
      <c r="A31" s="3" t="inlineStr">
        <is>
          <t>Retail T12 NOI at conversion</t>
        </is>
      </c>
      <c r="B31" s="4" t="inlineStr">
        <is>
          <t>$</t>
        </is>
      </c>
      <c r="C31" s="12">
        <f>SUM(INDEX(RetailProForma!C12:CH12,PERM_CONV_M-11):INDEX(RetailProForma!C12:CH12,PERM_CONV_M))</f>
        <v/>
      </c>
    </row>
    <row r="32">
      <c r="A32" s="3" t="inlineStr">
        <is>
          <t>Combined T12 NOI</t>
        </is>
      </c>
      <c r="B32" s="4" t="inlineStr">
        <is>
          <t>$</t>
        </is>
      </c>
      <c r="C32" s="12">
        <f>C30+C31</f>
        <v/>
      </c>
    </row>
    <row r="33">
      <c r="A33" s="3" t="inlineStr">
        <is>
          <t>Hotel value at conversion</t>
        </is>
      </c>
      <c r="B33" s="4" t="inlineStr">
        <is>
          <t>$</t>
        </is>
      </c>
      <c r="C33" s="12">
        <f>C30/HOTEL_CAP</f>
        <v/>
      </c>
    </row>
    <row r="34">
      <c r="A34" s="3" t="inlineStr">
        <is>
          <t>Retail value at conversion</t>
        </is>
      </c>
      <c r="B34" s="4" t="inlineStr">
        <is>
          <t>$</t>
        </is>
      </c>
      <c r="C34" s="12">
        <f>C31/RETAIL_CAP</f>
        <v/>
      </c>
    </row>
    <row r="35">
      <c r="A35" s="3" t="inlineStr">
        <is>
          <t>LTV size</t>
        </is>
      </c>
      <c r="B35" s="4" t="inlineStr">
        <is>
          <t>$</t>
        </is>
      </c>
      <c r="C35" s="12">
        <f>PERM_LTV*(C33+C34)</f>
        <v/>
      </c>
      <c r="D35" s="4" t="inlineStr">
        <is>
          <t>Proceeds are the minimum of the LTV, DSCR, and debt-yield sizes.</t>
        </is>
      </c>
    </row>
    <row r="36">
      <c r="A36" s="3" t="inlineStr">
        <is>
          <t>PMT factor</t>
        </is>
      </c>
      <c r="B36" s="4" t="inlineStr">
        <is>
          <t>$ per $1</t>
        </is>
      </c>
      <c r="C36" s="14">
        <f>PMT(PERM_RATE_PCT/12,PERM_AMORT_YRS*12,-1)</f>
        <v/>
      </c>
    </row>
    <row r="37">
      <c r="A37" s="3" t="inlineStr">
        <is>
          <t>DSCR size</t>
        </is>
      </c>
      <c r="B37" s="4" t="inlineStr">
        <is>
          <t>$</t>
        </is>
      </c>
      <c r="C37" s="12">
        <f>(C32/PERM_DSCR)/C36</f>
        <v/>
      </c>
    </row>
    <row r="38">
      <c r="A38" s="3" t="inlineStr">
        <is>
          <t>Debt-yield size</t>
        </is>
      </c>
      <c r="B38" s="4" t="inlineStr">
        <is>
          <t>$</t>
        </is>
      </c>
      <c r="C38" s="12">
        <f>C32/PERM_DY</f>
        <v/>
      </c>
    </row>
    <row r="39">
      <c r="A39" s="3" t="inlineStr">
        <is>
          <t>Permanent proceeds</t>
        </is>
      </c>
      <c r="B39" s="4" t="inlineStr">
        <is>
          <t>$</t>
        </is>
      </c>
      <c r="C39" s="12">
        <f>MIN(C35,C37,C38)</f>
        <v/>
      </c>
    </row>
  </sheetData>
  <autoFilter ref="A2:CH2"/>
  <pageMargins left="0.4" right="0.4" top="0.6" bottom="0.5" header="0.25" footer="0.25"/>
  <pageSetup orientation="landscape" paperSize="3" scale="55" fitToHeight="0" fitToWidth="1"/>
  <headerFooter>
    <oddHeader>&amp;LElite Luxury Mixed-Use  |  Illustrative template&amp;CPermanentDebt</oddHeader>
    <oddFooter>&amp;LNot a live deal  |  Not an offering  |  Not investment advice&amp;RPage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H23"/>
  <sheetViews>
    <sheetView view="pageBreakPreview" zoomScale="8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</cols>
  <sheetData>
    <row r="1" ht="22" customHeight="1">
      <c r="A1" s="1" t="inlineStr">
        <is>
          <t>HotelValuation</t>
        </is>
      </c>
    </row>
    <row r="2">
      <c r="A2" s="3" t="inlineStr">
        <is>
          <t>Month</t>
        </is>
      </c>
      <c r="B2" t="inlineStr">
        <is>
          <t>index</t>
        </is>
      </c>
      <c r="C2" s="15">
        <f>COLUMN()-2</f>
        <v/>
      </c>
      <c r="D2" s="15">
        <f>COLUMN()-2</f>
        <v/>
      </c>
      <c r="E2" s="15">
        <f>COLUMN()-2</f>
        <v/>
      </c>
      <c r="F2" s="15">
        <f>COLUMN()-2</f>
        <v/>
      </c>
      <c r="G2" s="15">
        <f>COLUMN()-2</f>
        <v/>
      </c>
      <c r="H2" s="15">
        <f>COLUMN()-2</f>
        <v/>
      </c>
      <c r="I2" s="15">
        <f>COLUMN()-2</f>
        <v/>
      </c>
      <c r="J2" s="15">
        <f>COLUMN()-2</f>
        <v/>
      </c>
      <c r="K2" s="15">
        <f>COLUMN()-2</f>
        <v/>
      </c>
      <c r="L2" s="15">
        <f>COLUMN()-2</f>
        <v/>
      </c>
      <c r="M2" s="15">
        <f>COLUMN()-2</f>
        <v/>
      </c>
      <c r="N2" s="15">
        <f>COLUMN()-2</f>
        <v/>
      </c>
      <c r="O2" s="15">
        <f>COLUMN()-2</f>
        <v/>
      </c>
      <c r="P2" s="15">
        <f>COLUMN()-2</f>
        <v/>
      </c>
      <c r="Q2" s="15">
        <f>COLUMN()-2</f>
        <v/>
      </c>
      <c r="R2" s="15">
        <f>COLUMN()-2</f>
        <v/>
      </c>
      <c r="S2" s="15">
        <f>COLUMN()-2</f>
        <v/>
      </c>
      <c r="T2" s="15">
        <f>COLUMN()-2</f>
        <v/>
      </c>
      <c r="U2" s="15">
        <f>COLUMN()-2</f>
        <v/>
      </c>
      <c r="V2" s="15">
        <f>COLUMN()-2</f>
        <v/>
      </c>
      <c r="W2" s="15">
        <f>COLUMN()-2</f>
        <v/>
      </c>
      <c r="X2" s="15">
        <f>COLUMN()-2</f>
        <v/>
      </c>
      <c r="Y2" s="15">
        <f>COLUMN()-2</f>
        <v/>
      </c>
      <c r="Z2" s="15">
        <f>COLUMN()-2</f>
        <v/>
      </c>
      <c r="AA2" s="15">
        <f>COLUMN()-2</f>
        <v/>
      </c>
      <c r="AB2" s="15">
        <f>COLUMN()-2</f>
        <v/>
      </c>
      <c r="AC2" s="15">
        <f>COLUMN()-2</f>
        <v/>
      </c>
      <c r="AD2" s="15">
        <f>COLUMN()-2</f>
        <v/>
      </c>
      <c r="AE2" s="15">
        <f>COLUMN()-2</f>
        <v/>
      </c>
      <c r="AF2" s="15">
        <f>COLUMN()-2</f>
        <v/>
      </c>
      <c r="AG2" s="15">
        <f>COLUMN()-2</f>
        <v/>
      </c>
      <c r="AH2" s="15">
        <f>COLUMN()-2</f>
        <v/>
      </c>
      <c r="AI2" s="15">
        <f>COLUMN()-2</f>
        <v/>
      </c>
      <c r="AJ2" s="15">
        <f>COLUMN()-2</f>
        <v/>
      </c>
      <c r="AK2" s="15">
        <f>COLUMN()-2</f>
        <v/>
      </c>
      <c r="AL2" s="15">
        <f>COLUMN()-2</f>
        <v/>
      </c>
      <c r="AM2" s="15">
        <f>COLUMN()-2</f>
        <v/>
      </c>
      <c r="AN2" s="15">
        <f>COLUMN()-2</f>
        <v/>
      </c>
      <c r="AO2" s="15">
        <f>COLUMN()-2</f>
        <v/>
      </c>
      <c r="AP2" s="15">
        <f>COLUMN()-2</f>
        <v/>
      </c>
      <c r="AQ2" s="15">
        <f>COLUMN()-2</f>
        <v/>
      </c>
      <c r="AR2" s="15">
        <f>COLUMN()-2</f>
        <v/>
      </c>
      <c r="AS2" s="15">
        <f>COLUMN()-2</f>
        <v/>
      </c>
      <c r="AT2" s="15">
        <f>COLUMN()-2</f>
        <v/>
      </c>
      <c r="AU2" s="15">
        <f>COLUMN()-2</f>
        <v/>
      </c>
      <c r="AV2" s="15">
        <f>COLUMN()-2</f>
        <v/>
      </c>
      <c r="AW2" s="15">
        <f>COLUMN()-2</f>
        <v/>
      </c>
      <c r="AX2" s="15">
        <f>COLUMN()-2</f>
        <v/>
      </c>
      <c r="AY2" s="15">
        <f>COLUMN()-2</f>
        <v/>
      </c>
      <c r="AZ2" s="15">
        <f>COLUMN()-2</f>
        <v/>
      </c>
      <c r="BA2" s="15">
        <f>COLUMN()-2</f>
        <v/>
      </c>
      <c r="BB2" s="15">
        <f>COLUMN()-2</f>
        <v/>
      </c>
      <c r="BC2" s="15">
        <f>COLUMN()-2</f>
        <v/>
      </c>
      <c r="BD2" s="15">
        <f>COLUMN()-2</f>
        <v/>
      </c>
      <c r="BE2" s="15">
        <f>COLUMN()-2</f>
        <v/>
      </c>
      <c r="BF2" s="15">
        <f>COLUMN()-2</f>
        <v/>
      </c>
      <c r="BG2" s="15">
        <f>COLUMN()-2</f>
        <v/>
      </c>
      <c r="BH2" s="15">
        <f>COLUMN()-2</f>
        <v/>
      </c>
      <c r="BI2" s="15">
        <f>COLUMN()-2</f>
        <v/>
      </c>
      <c r="BJ2" s="15">
        <f>COLUMN()-2</f>
        <v/>
      </c>
      <c r="BK2" s="15">
        <f>COLUMN()-2</f>
        <v/>
      </c>
      <c r="BL2" s="15">
        <f>COLUMN()-2</f>
        <v/>
      </c>
      <c r="BM2" s="15">
        <f>COLUMN()-2</f>
        <v/>
      </c>
      <c r="BN2" s="15">
        <f>COLUMN()-2</f>
        <v/>
      </c>
      <c r="BO2" s="15">
        <f>COLUMN()-2</f>
        <v/>
      </c>
      <c r="BP2" s="15">
        <f>COLUMN()-2</f>
        <v/>
      </c>
      <c r="BQ2" s="15">
        <f>COLUMN()-2</f>
        <v/>
      </c>
      <c r="BR2" s="15">
        <f>COLUMN()-2</f>
        <v/>
      </c>
      <c r="BS2" s="15">
        <f>COLUMN()-2</f>
        <v/>
      </c>
      <c r="BT2" s="15">
        <f>COLUMN()-2</f>
        <v/>
      </c>
      <c r="BU2" s="15">
        <f>COLUMN()-2</f>
        <v/>
      </c>
      <c r="BV2" s="15">
        <f>COLUMN()-2</f>
        <v/>
      </c>
      <c r="BW2" s="15">
        <f>COLUMN()-2</f>
        <v/>
      </c>
      <c r="BX2" s="15">
        <f>COLUMN()-2</f>
        <v/>
      </c>
      <c r="BY2" s="15">
        <f>COLUMN()-2</f>
        <v/>
      </c>
      <c r="BZ2" s="15">
        <f>COLUMN()-2</f>
        <v/>
      </c>
      <c r="CA2" s="15">
        <f>COLUMN()-2</f>
        <v/>
      </c>
      <c r="CB2" s="15">
        <f>COLUMN()-2</f>
        <v/>
      </c>
      <c r="CC2" s="15">
        <f>COLUMN()-2</f>
        <v/>
      </c>
      <c r="CD2" s="15">
        <f>COLUMN()-2</f>
        <v/>
      </c>
      <c r="CE2" s="15">
        <f>COLUMN()-2</f>
        <v/>
      </c>
      <c r="CF2" s="15">
        <f>COLUMN()-2</f>
        <v/>
      </c>
      <c r="CG2" s="15">
        <f>COLUMN()-2</f>
        <v/>
      </c>
      <c r="CH2" s="15">
        <f>COLUMN()-2</f>
        <v/>
      </c>
    </row>
    <row r="3">
      <c r="A3" s="3" t="inlineStr">
        <is>
          <t>Date</t>
        </is>
      </c>
      <c r="B3" t="inlineStr">
        <is>
          <t>month-end</t>
        </is>
      </c>
      <c r="C3" s="11">
        <f>EOMONTH(DATE(2026,1,1),C2-1)</f>
        <v/>
      </c>
      <c r="D3" s="11">
        <f>EOMONTH(DATE(2026,1,1),D2-1)</f>
        <v/>
      </c>
      <c r="E3" s="11">
        <f>EOMONTH(DATE(2026,1,1),E2-1)</f>
        <v/>
      </c>
      <c r="F3" s="11">
        <f>EOMONTH(DATE(2026,1,1),F2-1)</f>
        <v/>
      </c>
      <c r="G3" s="11">
        <f>EOMONTH(DATE(2026,1,1),G2-1)</f>
        <v/>
      </c>
      <c r="H3" s="11">
        <f>EOMONTH(DATE(2026,1,1),H2-1)</f>
        <v/>
      </c>
      <c r="I3" s="11">
        <f>EOMONTH(DATE(2026,1,1),I2-1)</f>
        <v/>
      </c>
      <c r="J3" s="11">
        <f>EOMONTH(DATE(2026,1,1),J2-1)</f>
        <v/>
      </c>
      <c r="K3" s="11">
        <f>EOMONTH(DATE(2026,1,1),K2-1)</f>
        <v/>
      </c>
      <c r="L3" s="11">
        <f>EOMONTH(DATE(2026,1,1),L2-1)</f>
        <v/>
      </c>
      <c r="M3" s="11">
        <f>EOMONTH(DATE(2026,1,1),M2-1)</f>
        <v/>
      </c>
      <c r="N3" s="11">
        <f>EOMONTH(DATE(2026,1,1),N2-1)</f>
        <v/>
      </c>
      <c r="O3" s="11">
        <f>EOMONTH(DATE(2026,1,1),O2-1)</f>
        <v/>
      </c>
      <c r="P3" s="11">
        <f>EOMONTH(DATE(2026,1,1),P2-1)</f>
        <v/>
      </c>
      <c r="Q3" s="11">
        <f>EOMONTH(DATE(2026,1,1),Q2-1)</f>
        <v/>
      </c>
      <c r="R3" s="11">
        <f>EOMONTH(DATE(2026,1,1),R2-1)</f>
        <v/>
      </c>
      <c r="S3" s="11">
        <f>EOMONTH(DATE(2026,1,1),S2-1)</f>
        <v/>
      </c>
      <c r="T3" s="11">
        <f>EOMONTH(DATE(2026,1,1),T2-1)</f>
        <v/>
      </c>
      <c r="U3" s="11">
        <f>EOMONTH(DATE(2026,1,1),U2-1)</f>
        <v/>
      </c>
      <c r="V3" s="11">
        <f>EOMONTH(DATE(2026,1,1),V2-1)</f>
        <v/>
      </c>
      <c r="W3" s="11">
        <f>EOMONTH(DATE(2026,1,1),W2-1)</f>
        <v/>
      </c>
      <c r="X3" s="11">
        <f>EOMONTH(DATE(2026,1,1),X2-1)</f>
        <v/>
      </c>
      <c r="Y3" s="11">
        <f>EOMONTH(DATE(2026,1,1),Y2-1)</f>
        <v/>
      </c>
      <c r="Z3" s="11">
        <f>EOMONTH(DATE(2026,1,1),Z2-1)</f>
        <v/>
      </c>
      <c r="AA3" s="11">
        <f>EOMONTH(DATE(2026,1,1),AA2-1)</f>
        <v/>
      </c>
      <c r="AB3" s="11">
        <f>EOMONTH(DATE(2026,1,1),AB2-1)</f>
        <v/>
      </c>
      <c r="AC3" s="11">
        <f>EOMONTH(DATE(2026,1,1),AC2-1)</f>
        <v/>
      </c>
      <c r="AD3" s="11">
        <f>EOMONTH(DATE(2026,1,1),AD2-1)</f>
        <v/>
      </c>
      <c r="AE3" s="11">
        <f>EOMONTH(DATE(2026,1,1),AE2-1)</f>
        <v/>
      </c>
      <c r="AF3" s="11">
        <f>EOMONTH(DATE(2026,1,1),AF2-1)</f>
        <v/>
      </c>
      <c r="AG3" s="11">
        <f>EOMONTH(DATE(2026,1,1),AG2-1)</f>
        <v/>
      </c>
      <c r="AH3" s="11">
        <f>EOMONTH(DATE(2026,1,1),AH2-1)</f>
        <v/>
      </c>
      <c r="AI3" s="11">
        <f>EOMONTH(DATE(2026,1,1),AI2-1)</f>
        <v/>
      </c>
      <c r="AJ3" s="11">
        <f>EOMONTH(DATE(2026,1,1),AJ2-1)</f>
        <v/>
      </c>
      <c r="AK3" s="11">
        <f>EOMONTH(DATE(2026,1,1),AK2-1)</f>
        <v/>
      </c>
      <c r="AL3" s="11">
        <f>EOMONTH(DATE(2026,1,1),AL2-1)</f>
        <v/>
      </c>
      <c r="AM3" s="11">
        <f>EOMONTH(DATE(2026,1,1),AM2-1)</f>
        <v/>
      </c>
      <c r="AN3" s="11">
        <f>EOMONTH(DATE(2026,1,1),AN2-1)</f>
        <v/>
      </c>
      <c r="AO3" s="11">
        <f>EOMONTH(DATE(2026,1,1),AO2-1)</f>
        <v/>
      </c>
      <c r="AP3" s="11">
        <f>EOMONTH(DATE(2026,1,1),AP2-1)</f>
        <v/>
      </c>
      <c r="AQ3" s="11">
        <f>EOMONTH(DATE(2026,1,1),AQ2-1)</f>
        <v/>
      </c>
      <c r="AR3" s="11">
        <f>EOMONTH(DATE(2026,1,1),AR2-1)</f>
        <v/>
      </c>
      <c r="AS3" s="11">
        <f>EOMONTH(DATE(2026,1,1),AS2-1)</f>
        <v/>
      </c>
      <c r="AT3" s="11">
        <f>EOMONTH(DATE(2026,1,1),AT2-1)</f>
        <v/>
      </c>
      <c r="AU3" s="11">
        <f>EOMONTH(DATE(2026,1,1),AU2-1)</f>
        <v/>
      </c>
      <c r="AV3" s="11">
        <f>EOMONTH(DATE(2026,1,1),AV2-1)</f>
        <v/>
      </c>
      <c r="AW3" s="11">
        <f>EOMONTH(DATE(2026,1,1),AW2-1)</f>
        <v/>
      </c>
      <c r="AX3" s="11">
        <f>EOMONTH(DATE(2026,1,1),AX2-1)</f>
        <v/>
      </c>
      <c r="AY3" s="11">
        <f>EOMONTH(DATE(2026,1,1),AY2-1)</f>
        <v/>
      </c>
      <c r="AZ3" s="11">
        <f>EOMONTH(DATE(2026,1,1),AZ2-1)</f>
        <v/>
      </c>
      <c r="BA3" s="11">
        <f>EOMONTH(DATE(2026,1,1),BA2-1)</f>
        <v/>
      </c>
      <c r="BB3" s="11">
        <f>EOMONTH(DATE(2026,1,1),BB2-1)</f>
        <v/>
      </c>
      <c r="BC3" s="11">
        <f>EOMONTH(DATE(2026,1,1),BC2-1)</f>
        <v/>
      </c>
      <c r="BD3" s="11">
        <f>EOMONTH(DATE(2026,1,1),BD2-1)</f>
        <v/>
      </c>
      <c r="BE3" s="11">
        <f>EOMONTH(DATE(2026,1,1),BE2-1)</f>
        <v/>
      </c>
      <c r="BF3" s="11">
        <f>EOMONTH(DATE(2026,1,1),BF2-1)</f>
        <v/>
      </c>
      <c r="BG3" s="11">
        <f>EOMONTH(DATE(2026,1,1),BG2-1)</f>
        <v/>
      </c>
      <c r="BH3" s="11">
        <f>EOMONTH(DATE(2026,1,1),BH2-1)</f>
        <v/>
      </c>
      <c r="BI3" s="11">
        <f>EOMONTH(DATE(2026,1,1),BI2-1)</f>
        <v/>
      </c>
      <c r="BJ3" s="11">
        <f>EOMONTH(DATE(2026,1,1),BJ2-1)</f>
        <v/>
      </c>
      <c r="BK3" s="11">
        <f>EOMONTH(DATE(2026,1,1),BK2-1)</f>
        <v/>
      </c>
      <c r="BL3" s="11">
        <f>EOMONTH(DATE(2026,1,1),BL2-1)</f>
        <v/>
      </c>
      <c r="BM3" s="11">
        <f>EOMONTH(DATE(2026,1,1),BM2-1)</f>
        <v/>
      </c>
      <c r="BN3" s="11">
        <f>EOMONTH(DATE(2026,1,1),BN2-1)</f>
        <v/>
      </c>
      <c r="BO3" s="11">
        <f>EOMONTH(DATE(2026,1,1),BO2-1)</f>
        <v/>
      </c>
      <c r="BP3" s="11">
        <f>EOMONTH(DATE(2026,1,1),BP2-1)</f>
        <v/>
      </c>
      <c r="BQ3" s="11">
        <f>EOMONTH(DATE(2026,1,1),BQ2-1)</f>
        <v/>
      </c>
      <c r="BR3" s="11">
        <f>EOMONTH(DATE(2026,1,1),BR2-1)</f>
        <v/>
      </c>
      <c r="BS3" s="11">
        <f>EOMONTH(DATE(2026,1,1),BS2-1)</f>
        <v/>
      </c>
      <c r="BT3" s="11">
        <f>EOMONTH(DATE(2026,1,1),BT2-1)</f>
        <v/>
      </c>
      <c r="BU3" s="11">
        <f>EOMONTH(DATE(2026,1,1),BU2-1)</f>
        <v/>
      </c>
      <c r="BV3" s="11">
        <f>EOMONTH(DATE(2026,1,1),BV2-1)</f>
        <v/>
      </c>
      <c r="BW3" s="11">
        <f>EOMONTH(DATE(2026,1,1),BW2-1)</f>
        <v/>
      </c>
      <c r="BX3" s="11">
        <f>EOMONTH(DATE(2026,1,1),BX2-1)</f>
        <v/>
      </c>
      <c r="BY3" s="11">
        <f>EOMONTH(DATE(2026,1,1),BY2-1)</f>
        <v/>
      </c>
      <c r="BZ3" s="11">
        <f>EOMONTH(DATE(2026,1,1),BZ2-1)</f>
        <v/>
      </c>
      <c r="CA3" s="11">
        <f>EOMONTH(DATE(2026,1,1),CA2-1)</f>
        <v/>
      </c>
      <c r="CB3" s="11">
        <f>EOMONTH(DATE(2026,1,1),CB2-1)</f>
        <v/>
      </c>
      <c r="CC3" s="11">
        <f>EOMONTH(DATE(2026,1,1),CC2-1)</f>
        <v/>
      </c>
      <c r="CD3" s="11">
        <f>EOMONTH(DATE(2026,1,1),CD2-1)</f>
        <v/>
      </c>
      <c r="CE3" s="11">
        <f>EOMONTH(DATE(2026,1,1),CE2-1)</f>
        <v/>
      </c>
      <c r="CF3" s="11">
        <f>EOMONTH(DATE(2026,1,1),CF2-1)</f>
        <v/>
      </c>
      <c r="CG3" s="11">
        <f>EOMONTH(DATE(2026,1,1),CG2-1)</f>
        <v/>
      </c>
      <c r="CH3" s="11">
        <f>EOMONTH(DATE(2026,1,1),CH2-1)</f>
        <v/>
      </c>
    </row>
    <row r="4">
      <c r="A4" s="3" t="inlineStr">
        <is>
          <t>Hotel NOI</t>
        </is>
      </c>
      <c r="B4" s="4" t="inlineStr">
        <is>
          <t>$</t>
        </is>
      </c>
      <c r="C4" s="12">
        <f>HotelProForma!C11</f>
        <v/>
      </c>
      <c r="D4" s="12">
        <f>HotelProForma!D11</f>
        <v/>
      </c>
      <c r="E4" s="12">
        <f>HotelProForma!E11</f>
        <v/>
      </c>
      <c r="F4" s="12">
        <f>HotelProForma!F11</f>
        <v/>
      </c>
      <c r="G4" s="12">
        <f>HotelProForma!G11</f>
        <v/>
      </c>
      <c r="H4" s="12">
        <f>HotelProForma!H11</f>
        <v/>
      </c>
      <c r="I4" s="12">
        <f>HotelProForma!I11</f>
        <v/>
      </c>
      <c r="J4" s="12">
        <f>HotelProForma!J11</f>
        <v/>
      </c>
      <c r="K4" s="12">
        <f>HotelProForma!K11</f>
        <v/>
      </c>
      <c r="L4" s="12">
        <f>HotelProForma!L11</f>
        <v/>
      </c>
      <c r="M4" s="12">
        <f>HotelProForma!M11</f>
        <v/>
      </c>
      <c r="N4" s="12">
        <f>HotelProForma!N11</f>
        <v/>
      </c>
      <c r="O4" s="12">
        <f>HotelProForma!O11</f>
        <v/>
      </c>
      <c r="P4" s="12">
        <f>HotelProForma!P11</f>
        <v/>
      </c>
      <c r="Q4" s="12">
        <f>HotelProForma!Q11</f>
        <v/>
      </c>
      <c r="R4" s="12">
        <f>HotelProForma!R11</f>
        <v/>
      </c>
      <c r="S4" s="12">
        <f>HotelProForma!S11</f>
        <v/>
      </c>
      <c r="T4" s="12">
        <f>HotelProForma!T11</f>
        <v/>
      </c>
      <c r="U4" s="12">
        <f>HotelProForma!U11</f>
        <v/>
      </c>
      <c r="V4" s="12">
        <f>HotelProForma!V11</f>
        <v/>
      </c>
      <c r="W4" s="12">
        <f>HotelProForma!W11</f>
        <v/>
      </c>
      <c r="X4" s="12">
        <f>HotelProForma!X11</f>
        <v/>
      </c>
      <c r="Y4" s="12">
        <f>HotelProForma!Y11</f>
        <v/>
      </c>
      <c r="Z4" s="12">
        <f>HotelProForma!Z11</f>
        <v/>
      </c>
      <c r="AA4" s="12">
        <f>HotelProForma!AA11</f>
        <v/>
      </c>
      <c r="AB4" s="12">
        <f>HotelProForma!AB11</f>
        <v/>
      </c>
      <c r="AC4" s="12">
        <f>HotelProForma!AC11</f>
        <v/>
      </c>
      <c r="AD4" s="12">
        <f>HotelProForma!AD11</f>
        <v/>
      </c>
      <c r="AE4" s="12">
        <f>HotelProForma!AE11</f>
        <v/>
      </c>
      <c r="AF4" s="12">
        <f>HotelProForma!AF11</f>
        <v/>
      </c>
      <c r="AG4" s="12">
        <f>HotelProForma!AG11</f>
        <v/>
      </c>
      <c r="AH4" s="12">
        <f>HotelProForma!AH11</f>
        <v/>
      </c>
      <c r="AI4" s="12">
        <f>HotelProForma!AI11</f>
        <v/>
      </c>
      <c r="AJ4" s="12">
        <f>HotelProForma!AJ11</f>
        <v/>
      </c>
      <c r="AK4" s="12">
        <f>HotelProForma!AK11</f>
        <v/>
      </c>
      <c r="AL4" s="12">
        <f>HotelProForma!AL11</f>
        <v/>
      </c>
      <c r="AM4" s="12">
        <f>HotelProForma!AM11</f>
        <v/>
      </c>
      <c r="AN4" s="12">
        <f>HotelProForma!AN11</f>
        <v/>
      </c>
      <c r="AO4" s="12">
        <f>HotelProForma!AO11</f>
        <v/>
      </c>
      <c r="AP4" s="12">
        <f>HotelProForma!AP11</f>
        <v/>
      </c>
      <c r="AQ4" s="12">
        <f>HotelProForma!AQ11</f>
        <v/>
      </c>
      <c r="AR4" s="12">
        <f>HotelProForma!AR11</f>
        <v/>
      </c>
      <c r="AS4" s="12">
        <f>HotelProForma!AS11</f>
        <v/>
      </c>
      <c r="AT4" s="12">
        <f>HotelProForma!AT11</f>
        <v/>
      </c>
      <c r="AU4" s="12">
        <f>HotelProForma!AU11</f>
        <v/>
      </c>
      <c r="AV4" s="12">
        <f>HotelProForma!AV11</f>
        <v/>
      </c>
      <c r="AW4" s="12">
        <f>HotelProForma!AW11</f>
        <v/>
      </c>
      <c r="AX4" s="12">
        <f>HotelProForma!AX11</f>
        <v/>
      </c>
      <c r="AY4" s="12">
        <f>HotelProForma!AY11</f>
        <v/>
      </c>
      <c r="AZ4" s="12">
        <f>HotelProForma!AZ11</f>
        <v/>
      </c>
      <c r="BA4" s="12">
        <f>HotelProForma!BA11</f>
        <v/>
      </c>
      <c r="BB4" s="12">
        <f>HotelProForma!BB11</f>
        <v/>
      </c>
      <c r="BC4" s="12">
        <f>HotelProForma!BC11</f>
        <v/>
      </c>
      <c r="BD4" s="12">
        <f>HotelProForma!BD11</f>
        <v/>
      </c>
      <c r="BE4" s="12">
        <f>HotelProForma!BE11</f>
        <v/>
      </c>
      <c r="BF4" s="12">
        <f>HotelProForma!BF11</f>
        <v/>
      </c>
      <c r="BG4" s="12">
        <f>HotelProForma!BG11</f>
        <v/>
      </c>
      <c r="BH4" s="12">
        <f>HotelProForma!BH11</f>
        <v/>
      </c>
      <c r="BI4" s="12">
        <f>HotelProForma!BI11</f>
        <v/>
      </c>
      <c r="BJ4" s="12">
        <f>HotelProForma!BJ11</f>
        <v/>
      </c>
      <c r="BK4" s="12">
        <f>HotelProForma!BK11</f>
        <v/>
      </c>
      <c r="BL4" s="12">
        <f>HotelProForma!BL11</f>
        <v/>
      </c>
      <c r="BM4" s="12">
        <f>HotelProForma!BM11</f>
        <v/>
      </c>
      <c r="BN4" s="12">
        <f>HotelProForma!BN11</f>
        <v/>
      </c>
      <c r="BO4" s="12">
        <f>HotelProForma!BO11</f>
        <v/>
      </c>
      <c r="BP4" s="12">
        <f>HotelProForma!BP11</f>
        <v/>
      </c>
      <c r="BQ4" s="12">
        <f>HotelProForma!BQ11</f>
        <v/>
      </c>
      <c r="BR4" s="12">
        <f>HotelProForma!BR11</f>
        <v/>
      </c>
      <c r="BS4" s="12">
        <f>HotelProForma!BS11</f>
        <v/>
      </c>
      <c r="BT4" s="12">
        <f>HotelProForma!BT11</f>
        <v/>
      </c>
      <c r="BU4" s="12">
        <f>HotelProForma!BU11</f>
        <v/>
      </c>
      <c r="BV4" s="12">
        <f>HotelProForma!BV11</f>
        <v/>
      </c>
      <c r="BW4" s="12">
        <f>HotelProForma!BW11</f>
        <v/>
      </c>
      <c r="BX4" s="12">
        <f>HotelProForma!BX11</f>
        <v/>
      </c>
      <c r="BY4" s="12">
        <f>HotelProForma!BY11</f>
        <v/>
      </c>
      <c r="BZ4" s="12">
        <f>HotelProForma!BZ11</f>
        <v/>
      </c>
      <c r="CA4" s="12">
        <f>HotelProForma!CA11</f>
        <v/>
      </c>
      <c r="CB4" s="12">
        <f>HotelProForma!CB11</f>
        <v/>
      </c>
      <c r="CC4" s="12">
        <f>HotelProForma!CC11</f>
        <v/>
      </c>
      <c r="CD4" s="12">
        <f>HotelProForma!CD11</f>
        <v/>
      </c>
      <c r="CE4" s="12">
        <f>HotelProForma!CE11</f>
        <v/>
      </c>
      <c r="CF4" s="12">
        <f>HotelProForma!CF11</f>
        <v/>
      </c>
      <c r="CG4" s="12">
        <f>HotelProForma!CG11</f>
        <v/>
      </c>
      <c r="CH4" s="12">
        <f>HotelProForma!CH11</f>
        <v/>
      </c>
    </row>
    <row r="6">
      <c r="A6" s="3" t="inlineStr">
        <is>
          <t>T12 NOI at exit</t>
        </is>
      </c>
      <c r="B6" s="4" t="inlineStr">
        <is>
          <t>$</t>
        </is>
      </c>
      <c r="C6" s="12">
        <f>SUM(INDEX(C4:CH4,EXIT_M-11):INDEX(C4:CH4,EXIT_M))</f>
        <v/>
      </c>
      <c r="D6" s="4" t="inlineStr">
        <is>
          <t>Trailing 12 months ending EXIT_M.</t>
        </is>
      </c>
    </row>
    <row r="7">
      <c r="A7" s="3" t="inlineStr">
        <is>
          <t>Hotel value</t>
        </is>
      </c>
      <c r="B7" s="4" t="inlineStr">
        <is>
          <t>$</t>
        </is>
      </c>
      <c r="C7" s="12">
        <f>C6/HOTEL_CAP</f>
        <v/>
      </c>
      <c r="D7" s="4" t="inlineStr">
        <is>
          <t>T12 NOI divided by HOTEL_CAP. No condo cap rate on this sheet.</t>
        </is>
      </c>
    </row>
    <row r="9">
      <c r="A9" s="1" t="inlineStr">
        <is>
          <t>T12 build-up</t>
        </is>
      </c>
    </row>
    <row r="10">
      <c r="A10" s="3" t="inlineStr">
        <is>
          <t>Trailing month 1</t>
        </is>
      </c>
      <c r="B10" s="4" t="inlineStr">
        <is>
          <t>month</t>
        </is>
      </c>
      <c r="C10" s="10">
        <f>INDEX($C$2:$CH$2,EXIT_M-12+1)</f>
        <v/>
      </c>
      <c r="D10" s="12">
        <f>INDEX($C$4:$CH$4,EXIT_M-12+1)</f>
        <v/>
      </c>
    </row>
    <row r="11">
      <c r="A11" s="3" t="inlineStr">
        <is>
          <t>Trailing month 2</t>
        </is>
      </c>
      <c r="B11" s="4" t="inlineStr">
        <is>
          <t>month</t>
        </is>
      </c>
      <c r="C11" s="10">
        <f>INDEX($C$2:$CH$2,EXIT_M-12+2)</f>
        <v/>
      </c>
      <c r="D11" s="12">
        <f>INDEX($C$4:$CH$4,EXIT_M-12+2)</f>
        <v/>
      </c>
    </row>
    <row r="12">
      <c r="A12" s="3" t="inlineStr">
        <is>
          <t>Trailing month 3</t>
        </is>
      </c>
      <c r="B12" s="4" t="inlineStr">
        <is>
          <t>month</t>
        </is>
      </c>
      <c r="C12" s="10">
        <f>INDEX($C$2:$CH$2,EXIT_M-12+3)</f>
        <v/>
      </c>
      <c r="D12" s="12">
        <f>INDEX($C$4:$CH$4,EXIT_M-12+3)</f>
        <v/>
      </c>
    </row>
    <row r="13">
      <c r="A13" s="3" t="inlineStr">
        <is>
          <t>Trailing month 4</t>
        </is>
      </c>
      <c r="B13" s="4" t="inlineStr">
        <is>
          <t>month</t>
        </is>
      </c>
      <c r="C13" s="10">
        <f>INDEX($C$2:$CH$2,EXIT_M-12+4)</f>
        <v/>
      </c>
      <c r="D13" s="12">
        <f>INDEX($C$4:$CH$4,EXIT_M-12+4)</f>
        <v/>
      </c>
    </row>
    <row r="14">
      <c r="A14" s="3" t="inlineStr">
        <is>
          <t>Trailing month 5</t>
        </is>
      </c>
      <c r="B14" s="4" t="inlineStr">
        <is>
          <t>month</t>
        </is>
      </c>
      <c r="C14" s="10">
        <f>INDEX($C$2:$CH$2,EXIT_M-12+5)</f>
        <v/>
      </c>
      <c r="D14" s="12">
        <f>INDEX($C$4:$CH$4,EXIT_M-12+5)</f>
        <v/>
      </c>
    </row>
    <row r="15">
      <c r="A15" s="3" t="inlineStr">
        <is>
          <t>Trailing month 6</t>
        </is>
      </c>
      <c r="B15" s="4" t="inlineStr">
        <is>
          <t>month</t>
        </is>
      </c>
      <c r="C15" s="10">
        <f>INDEX($C$2:$CH$2,EXIT_M-12+6)</f>
        <v/>
      </c>
      <c r="D15" s="12">
        <f>INDEX($C$4:$CH$4,EXIT_M-12+6)</f>
        <v/>
      </c>
    </row>
    <row r="16">
      <c r="A16" s="3" t="inlineStr">
        <is>
          <t>Trailing month 7</t>
        </is>
      </c>
      <c r="B16" s="4" t="inlineStr">
        <is>
          <t>month</t>
        </is>
      </c>
      <c r="C16" s="10">
        <f>INDEX($C$2:$CH$2,EXIT_M-12+7)</f>
        <v/>
      </c>
      <c r="D16" s="12">
        <f>INDEX($C$4:$CH$4,EXIT_M-12+7)</f>
        <v/>
      </c>
    </row>
    <row r="17">
      <c r="A17" s="3" t="inlineStr">
        <is>
          <t>Trailing month 8</t>
        </is>
      </c>
      <c r="B17" s="4" t="inlineStr">
        <is>
          <t>month</t>
        </is>
      </c>
      <c r="C17" s="10">
        <f>INDEX($C$2:$CH$2,EXIT_M-12+8)</f>
        <v/>
      </c>
      <c r="D17" s="12">
        <f>INDEX($C$4:$CH$4,EXIT_M-12+8)</f>
        <v/>
      </c>
    </row>
    <row r="18">
      <c r="A18" s="3" t="inlineStr">
        <is>
          <t>Trailing month 9</t>
        </is>
      </c>
      <c r="B18" s="4" t="inlineStr">
        <is>
          <t>month</t>
        </is>
      </c>
      <c r="C18" s="10">
        <f>INDEX($C$2:$CH$2,EXIT_M-12+9)</f>
        <v/>
      </c>
      <c r="D18" s="12">
        <f>INDEX($C$4:$CH$4,EXIT_M-12+9)</f>
        <v/>
      </c>
    </row>
    <row r="19">
      <c r="A19" s="3" t="inlineStr">
        <is>
          <t>Trailing month 10</t>
        </is>
      </c>
      <c r="B19" s="4" t="inlineStr">
        <is>
          <t>month</t>
        </is>
      </c>
      <c r="C19" s="10">
        <f>INDEX($C$2:$CH$2,EXIT_M-12+10)</f>
        <v/>
      </c>
      <c r="D19" s="12">
        <f>INDEX($C$4:$CH$4,EXIT_M-12+10)</f>
        <v/>
      </c>
    </row>
    <row r="20">
      <c r="A20" s="3" t="inlineStr">
        <is>
          <t>Trailing month 11</t>
        </is>
      </c>
      <c r="B20" s="4" t="inlineStr">
        <is>
          <t>month</t>
        </is>
      </c>
      <c r="C20" s="10">
        <f>INDEX($C$2:$CH$2,EXIT_M-12+11)</f>
        <v/>
      </c>
      <c r="D20" s="12">
        <f>INDEX($C$4:$CH$4,EXIT_M-12+11)</f>
        <v/>
      </c>
    </row>
    <row r="21">
      <c r="A21" s="3" t="inlineStr">
        <is>
          <t>Trailing month 12</t>
        </is>
      </c>
      <c r="B21" s="4" t="inlineStr">
        <is>
          <t>month</t>
        </is>
      </c>
      <c r="C21" s="10">
        <f>INDEX($C$2:$CH$2,EXIT_M-12+12)</f>
        <v/>
      </c>
      <c r="D21" s="12">
        <f>INDEX($C$4:$CH$4,EXIT_M-12+12)</f>
        <v/>
      </c>
    </row>
    <row r="22">
      <c r="A22" s="3" t="inlineStr">
        <is>
          <t>T12 build-up sum</t>
        </is>
      </c>
      <c r="B22" s="4" t="inlineStr">
        <is>
          <t>$</t>
        </is>
      </c>
      <c r="C22" s="12">
        <f>SUM(D10:D21)</f>
        <v/>
      </c>
    </row>
    <row r="23">
      <c r="A23" s="3" t="inlineStr">
        <is>
          <t>Build-up minus T12</t>
        </is>
      </c>
      <c r="B23" s="4" t="inlineStr">
        <is>
          <t>$</t>
        </is>
      </c>
      <c r="C23" s="14">
        <f>C22-C6</f>
        <v/>
      </c>
    </row>
  </sheetData>
  <autoFilter ref="A2:CH2"/>
  <pageMargins left="0.4" right="0.4" top="0.6" bottom="0.5" header="0.25" footer="0.25"/>
  <pageSetup orientation="landscape" paperSize="3" scale="55" fitToHeight="0" fitToWidth="1"/>
  <headerFooter>
    <oddHeader>&amp;LElite Luxury Mixed-Use  |  Illustrative template&amp;CHotelValuation</oddHeader>
    <oddFooter>&amp;LNot a live deal  |  Not an offering  |  Not investment advice&amp;RPage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H23"/>
  <sheetViews>
    <sheetView view="pageBreakPreview" zoomScale="8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</cols>
  <sheetData>
    <row r="1" ht="22" customHeight="1">
      <c r="A1" s="1" t="inlineStr">
        <is>
          <t>RetailValuation</t>
        </is>
      </c>
    </row>
    <row r="2">
      <c r="A2" s="3" t="inlineStr">
        <is>
          <t>Month</t>
        </is>
      </c>
      <c r="B2" t="inlineStr">
        <is>
          <t>index</t>
        </is>
      </c>
      <c r="C2" s="15">
        <f>COLUMN()-2</f>
        <v/>
      </c>
      <c r="D2" s="15">
        <f>COLUMN()-2</f>
        <v/>
      </c>
      <c r="E2" s="15">
        <f>COLUMN()-2</f>
        <v/>
      </c>
      <c r="F2" s="15">
        <f>COLUMN()-2</f>
        <v/>
      </c>
      <c r="G2" s="15">
        <f>COLUMN()-2</f>
        <v/>
      </c>
      <c r="H2" s="15">
        <f>COLUMN()-2</f>
        <v/>
      </c>
      <c r="I2" s="15">
        <f>COLUMN()-2</f>
        <v/>
      </c>
      <c r="J2" s="15">
        <f>COLUMN()-2</f>
        <v/>
      </c>
      <c r="K2" s="15">
        <f>COLUMN()-2</f>
        <v/>
      </c>
      <c r="L2" s="15">
        <f>COLUMN()-2</f>
        <v/>
      </c>
      <c r="M2" s="15">
        <f>COLUMN()-2</f>
        <v/>
      </c>
      <c r="N2" s="15">
        <f>COLUMN()-2</f>
        <v/>
      </c>
      <c r="O2" s="15">
        <f>COLUMN()-2</f>
        <v/>
      </c>
      <c r="P2" s="15">
        <f>COLUMN()-2</f>
        <v/>
      </c>
      <c r="Q2" s="15">
        <f>COLUMN()-2</f>
        <v/>
      </c>
      <c r="R2" s="15">
        <f>COLUMN()-2</f>
        <v/>
      </c>
      <c r="S2" s="15">
        <f>COLUMN()-2</f>
        <v/>
      </c>
      <c r="T2" s="15">
        <f>COLUMN()-2</f>
        <v/>
      </c>
      <c r="U2" s="15">
        <f>COLUMN()-2</f>
        <v/>
      </c>
      <c r="V2" s="15">
        <f>COLUMN()-2</f>
        <v/>
      </c>
      <c r="W2" s="15">
        <f>COLUMN()-2</f>
        <v/>
      </c>
      <c r="X2" s="15">
        <f>COLUMN()-2</f>
        <v/>
      </c>
      <c r="Y2" s="15">
        <f>COLUMN()-2</f>
        <v/>
      </c>
      <c r="Z2" s="15">
        <f>COLUMN()-2</f>
        <v/>
      </c>
      <c r="AA2" s="15">
        <f>COLUMN()-2</f>
        <v/>
      </c>
      <c r="AB2" s="15">
        <f>COLUMN()-2</f>
        <v/>
      </c>
      <c r="AC2" s="15">
        <f>COLUMN()-2</f>
        <v/>
      </c>
      <c r="AD2" s="15">
        <f>COLUMN()-2</f>
        <v/>
      </c>
      <c r="AE2" s="15">
        <f>COLUMN()-2</f>
        <v/>
      </c>
      <c r="AF2" s="15">
        <f>COLUMN()-2</f>
        <v/>
      </c>
      <c r="AG2" s="15">
        <f>COLUMN()-2</f>
        <v/>
      </c>
      <c r="AH2" s="15">
        <f>COLUMN()-2</f>
        <v/>
      </c>
      <c r="AI2" s="15">
        <f>COLUMN()-2</f>
        <v/>
      </c>
      <c r="AJ2" s="15">
        <f>COLUMN()-2</f>
        <v/>
      </c>
      <c r="AK2" s="15">
        <f>COLUMN()-2</f>
        <v/>
      </c>
      <c r="AL2" s="15">
        <f>COLUMN()-2</f>
        <v/>
      </c>
      <c r="AM2" s="15">
        <f>COLUMN()-2</f>
        <v/>
      </c>
      <c r="AN2" s="15">
        <f>COLUMN()-2</f>
        <v/>
      </c>
      <c r="AO2" s="15">
        <f>COLUMN()-2</f>
        <v/>
      </c>
      <c r="AP2" s="15">
        <f>COLUMN()-2</f>
        <v/>
      </c>
      <c r="AQ2" s="15">
        <f>COLUMN()-2</f>
        <v/>
      </c>
      <c r="AR2" s="15">
        <f>COLUMN()-2</f>
        <v/>
      </c>
      <c r="AS2" s="15">
        <f>COLUMN()-2</f>
        <v/>
      </c>
      <c r="AT2" s="15">
        <f>COLUMN()-2</f>
        <v/>
      </c>
      <c r="AU2" s="15">
        <f>COLUMN()-2</f>
        <v/>
      </c>
      <c r="AV2" s="15">
        <f>COLUMN()-2</f>
        <v/>
      </c>
      <c r="AW2" s="15">
        <f>COLUMN()-2</f>
        <v/>
      </c>
      <c r="AX2" s="15">
        <f>COLUMN()-2</f>
        <v/>
      </c>
      <c r="AY2" s="15">
        <f>COLUMN()-2</f>
        <v/>
      </c>
      <c r="AZ2" s="15">
        <f>COLUMN()-2</f>
        <v/>
      </c>
      <c r="BA2" s="15">
        <f>COLUMN()-2</f>
        <v/>
      </c>
      <c r="BB2" s="15">
        <f>COLUMN()-2</f>
        <v/>
      </c>
      <c r="BC2" s="15">
        <f>COLUMN()-2</f>
        <v/>
      </c>
      <c r="BD2" s="15">
        <f>COLUMN()-2</f>
        <v/>
      </c>
      <c r="BE2" s="15">
        <f>COLUMN()-2</f>
        <v/>
      </c>
      <c r="BF2" s="15">
        <f>COLUMN()-2</f>
        <v/>
      </c>
      <c r="BG2" s="15">
        <f>COLUMN()-2</f>
        <v/>
      </c>
      <c r="BH2" s="15">
        <f>COLUMN()-2</f>
        <v/>
      </c>
      <c r="BI2" s="15">
        <f>COLUMN()-2</f>
        <v/>
      </c>
      <c r="BJ2" s="15">
        <f>COLUMN()-2</f>
        <v/>
      </c>
      <c r="BK2" s="15">
        <f>COLUMN()-2</f>
        <v/>
      </c>
      <c r="BL2" s="15">
        <f>COLUMN()-2</f>
        <v/>
      </c>
      <c r="BM2" s="15">
        <f>COLUMN()-2</f>
        <v/>
      </c>
      <c r="BN2" s="15">
        <f>COLUMN()-2</f>
        <v/>
      </c>
      <c r="BO2" s="15">
        <f>COLUMN()-2</f>
        <v/>
      </c>
      <c r="BP2" s="15">
        <f>COLUMN()-2</f>
        <v/>
      </c>
      <c r="BQ2" s="15">
        <f>COLUMN()-2</f>
        <v/>
      </c>
      <c r="BR2" s="15">
        <f>COLUMN()-2</f>
        <v/>
      </c>
      <c r="BS2" s="15">
        <f>COLUMN()-2</f>
        <v/>
      </c>
      <c r="BT2" s="15">
        <f>COLUMN()-2</f>
        <v/>
      </c>
      <c r="BU2" s="15">
        <f>COLUMN()-2</f>
        <v/>
      </c>
      <c r="BV2" s="15">
        <f>COLUMN()-2</f>
        <v/>
      </c>
      <c r="BW2" s="15">
        <f>COLUMN()-2</f>
        <v/>
      </c>
      <c r="BX2" s="15">
        <f>COLUMN()-2</f>
        <v/>
      </c>
      <c r="BY2" s="15">
        <f>COLUMN()-2</f>
        <v/>
      </c>
      <c r="BZ2" s="15">
        <f>COLUMN()-2</f>
        <v/>
      </c>
      <c r="CA2" s="15">
        <f>COLUMN()-2</f>
        <v/>
      </c>
      <c r="CB2" s="15">
        <f>COLUMN()-2</f>
        <v/>
      </c>
      <c r="CC2" s="15">
        <f>COLUMN()-2</f>
        <v/>
      </c>
      <c r="CD2" s="15">
        <f>COLUMN()-2</f>
        <v/>
      </c>
      <c r="CE2" s="15">
        <f>COLUMN()-2</f>
        <v/>
      </c>
      <c r="CF2" s="15">
        <f>COLUMN()-2</f>
        <v/>
      </c>
      <c r="CG2" s="15">
        <f>COLUMN()-2</f>
        <v/>
      </c>
      <c r="CH2" s="15">
        <f>COLUMN()-2</f>
        <v/>
      </c>
    </row>
    <row r="3">
      <c r="A3" s="3" t="inlineStr">
        <is>
          <t>Date</t>
        </is>
      </c>
      <c r="B3" t="inlineStr">
        <is>
          <t>month-end</t>
        </is>
      </c>
      <c r="C3" s="11">
        <f>EOMONTH(DATE(2026,1,1),C2-1)</f>
        <v/>
      </c>
      <c r="D3" s="11">
        <f>EOMONTH(DATE(2026,1,1),D2-1)</f>
        <v/>
      </c>
      <c r="E3" s="11">
        <f>EOMONTH(DATE(2026,1,1),E2-1)</f>
        <v/>
      </c>
      <c r="F3" s="11">
        <f>EOMONTH(DATE(2026,1,1),F2-1)</f>
        <v/>
      </c>
      <c r="G3" s="11">
        <f>EOMONTH(DATE(2026,1,1),G2-1)</f>
        <v/>
      </c>
      <c r="H3" s="11">
        <f>EOMONTH(DATE(2026,1,1),H2-1)</f>
        <v/>
      </c>
      <c r="I3" s="11">
        <f>EOMONTH(DATE(2026,1,1),I2-1)</f>
        <v/>
      </c>
      <c r="J3" s="11">
        <f>EOMONTH(DATE(2026,1,1),J2-1)</f>
        <v/>
      </c>
      <c r="K3" s="11">
        <f>EOMONTH(DATE(2026,1,1),K2-1)</f>
        <v/>
      </c>
      <c r="L3" s="11">
        <f>EOMONTH(DATE(2026,1,1),L2-1)</f>
        <v/>
      </c>
      <c r="M3" s="11">
        <f>EOMONTH(DATE(2026,1,1),M2-1)</f>
        <v/>
      </c>
      <c r="N3" s="11">
        <f>EOMONTH(DATE(2026,1,1),N2-1)</f>
        <v/>
      </c>
      <c r="O3" s="11">
        <f>EOMONTH(DATE(2026,1,1),O2-1)</f>
        <v/>
      </c>
      <c r="P3" s="11">
        <f>EOMONTH(DATE(2026,1,1),P2-1)</f>
        <v/>
      </c>
      <c r="Q3" s="11">
        <f>EOMONTH(DATE(2026,1,1),Q2-1)</f>
        <v/>
      </c>
      <c r="R3" s="11">
        <f>EOMONTH(DATE(2026,1,1),R2-1)</f>
        <v/>
      </c>
      <c r="S3" s="11">
        <f>EOMONTH(DATE(2026,1,1),S2-1)</f>
        <v/>
      </c>
      <c r="T3" s="11">
        <f>EOMONTH(DATE(2026,1,1),T2-1)</f>
        <v/>
      </c>
      <c r="U3" s="11">
        <f>EOMONTH(DATE(2026,1,1),U2-1)</f>
        <v/>
      </c>
      <c r="V3" s="11">
        <f>EOMONTH(DATE(2026,1,1),V2-1)</f>
        <v/>
      </c>
      <c r="W3" s="11">
        <f>EOMONTH(DATE(2026,1,1),W2-1)</f>
        <v/>
      </c>
      <c r="X3" s="11">
        <f>EOMONTH(DATE(2026,1,1),X2-1)</f>
        <v/>
      </c>
      <c r="Y3" s="11">
        <f>EOMONTH(DATE(2026,1,1),Y2-1)</f>
        <v/>
      </c>
      <c r="Z3" s="11">
        <f>EOMONTH(DATE(2026,1,1),Z2-1)</f>
        <v/>
      </c>
      <c r="AA3" s="11">
        <f>EOMONTH(DATE(2026,1,1),AA2-1)</f>
        <v/>
      </c>
      <c r="AB3" s="11">
        <f>EOMONTH(DATE(2026,1,1),AB2-1)</f>
        <v/>
      </c>
      <c r="AC3" s="11">
        <f>EOMONTH(DATE(2026,1,1),AC2-1)</f>
        <v/>
      </c>
      <c r="AD3" s="11">
        <f>EOMONTH(DATE(2026,1,1),AD2-1)</f>
        <v/>
      </c>
      <c r="AE3" s="11">
        <f>EOMONTH(DATE(2026,1,1),AE2-1)</f>
        <v/>
      </c>
      <c r="AF3" s="11">
        <f>EOMONTH(DATE(2026,1,1),AF2-1)</f>
        <v/>
      </c>
      <c r="AG3" s="11">
        <f>EOMONTH(DATE(2026,1,1),AG2-1)</f>
        <v/>
      </c>
      <c r="AH3" s="11">
        <f>EOMONTH(DATE(2026,1,1),AH2-1)</f>
        <v/>
      </c>
      <c r="AI3" s="11">
        <f>EOMONTH(DATE(2026,1,1),AI2-1)</f>
        <v/>
      </c>
      <c r="AJ3" s="11">
        <f>EOMONTH(DATE(2026,1,1),AJ2-1)</f>
        <v/>
      </c>
      <c r="AK3" s="11">
        <f>EOMONTH(DATE(2026,1,1),AK2-1)</f>
        <v/>
      </c>
      <c r="AL3" s="11">
        <f>EOMONTH(DATE(2026,1,1),AL2-1)</f>
        <v/>
      </c>
      <c r="AM3" s="11">
        <f>EOMONTH(DATE(2026,1,1),AM2-1)</f>
        <v/>
      </c>
      <c r="AN3" s="11">
        <f>EOMONTH(DATE(2026,1,1),AN2-1)</f>
        <v/>
      </c>
      <c r="AO3" s="11">
        <f>EOMONTH(DATE(2026,1,1),AO2-1)</f>
        <v/>
      </c>
      <c r="AP3" s="11">
        <f>EOMONTH(DATE(2026,1,1),AP2-1)</f>
        <v/>
      </c>
      <c r="AQ3" s="11">
        <f>EOMONTH(DATE(2026,1,1),AQ2-1)</f>
        <v/>
      </c>
      <c r="AR3" s="11">
        <f>EOMONTH(DATE(2026,1,1),AR2-1)</f>
        <v/>
      </c>
      <c r="AS3" s="11">
        <f>EOMONTH(DATE(2026,1,1),AS2-1)</f>
        <v/>
      </c>
      <c r="AT3" s="11">
        <f>EOMONTH(DATE(2026,1,1),AT2-1)</f>
        <v/>
      </c>
      <c r="AU3" s="11">
        <f>EOMONTH(DATE(2026,1,1),AU2-1)</f>
        <v/>
      </c>
      <c r="AV3" s="11">
        <f>EOMONTH(DATE(2026,1,1),AV2-1)</f>
        <v/>
      </c>
      <c r="AW3" s="11">
        <f>EOMONTH(DATE(2026,1,1),AW2-1)</f>
        <v/>
      </c>
      <c r="AX3" s="11">
        <f>EOMONTH(DATE(2026,1,1),AX2-1)</f>
        <v/>
      </c>
      <c r="AY3" s="11">
        <f>EOMONTH(DATE(2026,1,1),AY2-1)</f>
        <v/>
      </c>
      <c r="AZ3" s="11">
        <f>EOMONTH(DATE(2026,1,1),AZ2-1)</f>
        <v/>
      </c>
      <c r="BA3" s="11">
        <f>EOMONTH(DATE(2026,1,1),BA2-1)</f>
        <v/>
      </c>
      <c r="BB3" s="11">
        <f>EOMONTH(DATE(2026,1,1),BB2-1)</f>
        <v/>
      </c>
      <c r="BC3" s="11">
        <f>EOMONTH(DATE(2026,1,1),BC2-1)</f>
        <v/>
      </c>
      <c r="BD3" s="11">
        <f>EOMONTH(DATE(2026,1,1),BD2-1)</f>
        <v/>
      </c>
      <c r="BE3" s="11">
        <f>EOMONTH(DATE(2026,1,1),BE2-1)</f>
        <v/>
      </c>
      <c r="BF3" s="11">
        <f>EOMONTH(DATE(2026,1,1),BF2-1)</f>
        <v/>
      </c>
      <c r="BG3" s="11">
        <f>EOMONTH(DATE(2026,1,1),BG2-1)</f>
        <v/>
      </c>
      <c r="BH3" s="11">
        <f>EOMONTH(DATE(2026,1,1),BH2-1)</f>
        <v/>
      </c>
      <c r="BI3" s="11">
        <f>EOMONTH(DATE(2026,1,1),BI2-1)</f>
        <v/>
      </c>
      <c r="BJ3" s="11">
        <f>EOMONTH(DATE(2026,1,1),BJ2-1)</f>
        <v/>
      </c>
      <c r="BK3" s="11">
        <f>EOMONTH(DATE(2026,1,1),BK2-1)</f>
        <v/>
      </c>
      <c r="BL3" s="11">
        <f>EOMONTH(DATE(2026,1,1),BL2-1)</f>
        <v/>
      </c>
      <c r="BM3" s="11">
        <f>EOMONTH(DATE(2026,1,1),BM2-1)</f>
        <v/>
      </c>
      <c r="BN3" s="11">
        <f>EOMONTH(DATE(2026,1,1),BN2-1)</f>
        <v/>
      </c>
      <c r="BO3" s="11">
        <f>EOMONTH(DATE(2026,1,1),BO2-1)</f>
        <v/>
      </c>
      <c r="BP3" s="11">
        <f>EOMONTH(DATE(2026,1,1),BP2-1)</f>
        <v/>
      </c>
      <c r="BQ3" s="11">
        <f>EOMONTH(DATE(2026,1,1),BQ2-1)</f>
        <v/>
      </c>
      <c r="BR3" s="11">
        <f>EOMONTH(DATE(2026,1,1),BR2-1)</f>
        <v/>
      </c>
      <c r="BS3" s="11">
        <f>EOMONTH(DATE(2026,1,1),BS2-1)</f>
        <v/>
      </c>
      <c r="BT3" s="11">
        <f>EOMONTH(DATE(2026,1,1),BT2-1)</f>
        <v/>
      </c>
      <c r="BU3" s="11">
        <f>EOMONTH(DATE(2026,1,1),BU2-1)</f>
        <v/>
      </c>
      <c r="BV3" s="11">
        <f>EOMONTH(DATE(2026,1,1),BV2-1)</f>
        <v/>
      </c>
      <c r="BW3" s="11">
        <f>EOMONTH(DATE(2026,1,1),BW2-1)</f>
        <v/>
      </c>
      <c r="BX3" s="11">
        <f>EOMONTH(DATE(2026,1,1),BX2-1)</f>
        <v/>
      </c>
      <c r="BY3" s="11">
        <f>EOMONTH(DATE(2026,1,1),BY2-1)</f>
        <v/>
      </c>
      <c r="BZ3" s="11">
        <f>EOMONTH(DATE(2026,1,1),BZ2-1)</f>
        <v/>
      </c>
      <c r="CA3" s="11">
        <f>EOMONTH(DATE(2026,1,1),CA2-1)</f>
        <v/>
      </c>
      <c r="CB3" s="11">
        <f>EOMONTH(DATE(2026,1,1),CB2-1)</f>
        <v/>
      </c>
      <c r="CC3" s="11">
        <f>EOMONTH(DATE(2026,1,1),CC2-1)</f>
        <v/>
      </c>
      <c r="CD3" s="11">
        <f>EOMONTH(DATE(2026,1,1),CD2-1)</f>
        <v/>
      </c>
      <c r="CE3" s="11">
        <f>EOMONTH(DATE(2026,1,1),CE2-1)</f>
        <v/>
      </c>
      <c r="CF3" s="11">
        <f>EOMONTH(DATE(2026,1,1),CF2-1)</f>
        <v/>
      </c>
      <c r="CG3" s="11">
        <f>EOMONTH(DATE(2026,1,1),CG2-1)</f>
        <v/>
      </c>
      <c r="CH3" s="11">
        <f>EOMONTH(DATE(2026,1,1),CH2-1)</f>
        <v/>
      </c>
    </row>
    <row r="4">
      <c r="A4" s="3" t="inlineStr">
        <is>
          <t>Retail NOI</t>
        </is>
      </c>
      <c r="B4" s="4" t="inlineStr">
        <is>
          <t>$</t>
        </is>
      </c>
      <c r="C4" s="12">
        <f>RetailProForma!C12</f>
        <v/>
      </c>
      <c r="D4" s="12">
        <f>RetailProForma!D12</f>
        <v/>
      </c>
      <c r="E4" s="12">
        <f>RetailProForma!E12</f>
        <v/>
      </c>
      <c r="F4" s="12">
        <f>RetailProForma!F12</f>
        <v/>
      </c>
      <c r="G4" s="12">
        <f>RetailProForma!G12</f>
        <v/>
      </c>
      <c r="H4" s="12">
        <f>RetailProForma!H12</f>
        <v/>
      </c>
      <c r="I4" s="12">
        <f>RetailProForma!I12</f>
        <v/>
      </c>
      <c r="J4" s="12">
        <f>RetailProForma!J12</f>
        <v/>
      </c>
      <c r="K4" s="12">
        <f>RetailProForma!K12</f>
        <v/>
      </c>
      <c r="L4" s="12">
        <f>RetailProForma!L12</f>
        <v/>
      </c>
      <c r="M4" s="12">
        <f>RetailProForma!M12</f>
        <v/>
      </c>
      <c r="N4" s="12">
        <f>RetailProForma!N12</f>
        <v/>
      </c>
      <c r="O4" s="12">
        <f>RetailProForma!O12</f>
        <v/>
      </c>
      <c r="P4" s="12">
        <f>RetailProForma!P12</f>
        <v/>
      </c>
      <c r="Q4" s="12">
        <f>RetailProForma!Q12</f>
        <v/>
      </c>
      <c r="R4" s="12">
        <f>RetailProForma!R12</f>
        <v/>
      </c>
      <c r="S4" s="12">
        <f>RetailProForma!S12</f>
        <v/>
      </c>
      <c r="T4" s="12">
        <f>RetailProForma!T12</f>
        <v/>
      </c>
      <c r="U4" s="12">
        <f>RetailProForma!U12</f>
        <v/>
      </c>
      <c r="V4" s="12">
        <f>RetailProForma!V12</f>
        <v/>
      </c>
      <c r="W4" s="12">
        <f>RetailProForma!W12</f>
        <v/>
      </c>
      <c r="X4" s="12">
        <f>RetailProForma!X12</f>
        <v/>
      </c>
      <c r="Y4" s="12">
        <f>RetailProForma!Y12</f>
        <v/>
      </c>
      <c r="Z4" s="12">
        <f>RetailProForma!Z12</f>
        <v/>
      </c>
      <c r="AA4" s="12">
        <f>RetailProForma!AA12</f>
        <v/>
      </c>
      <c r="AB4" s="12">
        <f>RetailProForma!AB12</f>
        <v/>
      </c>
      <c r="AC4" s="12">
        <f>RetailProForma!AC12</f>
        <v/>
      </c>
      <c r="AD4" s="12">
        <f>RetailProForma!AD12</f>
        <v/>
      </c>
      <c r="AE4" s="12">
        <f>RetailProForma!AE12</f>
        <v/>
      </c>
      <c r="AF4" s="12">
        <f>RetailProForma!AF12</f>
        <v/>
      </c>
      <c r="AG4" s="12">
        <f>RetailProForma!AG12</f>
        <v/>
      </c>
      <c r="AH4" s="12">
        <f>RetailProForma!AH12</f>
        <v/>
      </c>
      <c r="AI4" s="12">
        <f>RetailProForma!AI12</f>
        <v/>
      </c>
      <c r="AJ4" s="12">
        <f>RetailProForma!AJ12</f>
        <v/>
      </c>
      <c r="AK4" s="12">
        <f>RetailProForma!AK12</f>
        <v/>
      </c>
      <c r="AL4" s="12">
        <f>RetailProForma!AL12</f>
        <v/>
      </c>
      <c r="AM4" s="12">
        <f>RetailProForma!AM12</f>
        <v/>
      </c>
      <c r="AN4" s="12">
        <f>RetailProForma!AN12</f>
        <v/>
      </c>
      <c r="AO4" s="12">
        <f>RetailProForma!AO12</f>
        <v/>
      </c>
      <c r="AP4" s="12">
        <f>RetailProForma!AP12</f>
        <v/>
      </c>
      <c r="AQ4" s="12">
        <f>RetailProForma!AQ12</f>
        <v/>
      </c>
      <c r="AR4" s="12">
        <f>RetailProForma!AR12</f>
        <v/>
      </c>
      <c r="AS4" s="12">
        <f>RetailProForma!AS12</f>
        <v/>
      </c>
      <c r="AT4" s="12">
        <f>RetailProForma!AT12</f>
        <v/>
      </c>
      <c r="AU4" s="12">
        <f>RetailProForma!AU12</f>
        <v/>
      </c>
      <c r="AV4" s="12">
        <f>RetailProForma!AV12</f>
        <v/>
      </c>
      <c r="AW4" s="12">
        <f>RetailProForma!AW12</f>
        <v/>
      </c>
      <c r="AX4" s="12">
        <f>RetailProForma!AX12</f>
        <v/>
      </c>
      <c r="AY4" s="12">
        <f>RetailProForma!AY12</f>
        <v/>
      </c>
      <c r="AZ4" s="12">
        <f>RetailProForma!AZ12</f>
        <v/>
      </c>
      <c r="BA4" s="12">
        <f>RetailProForma!BA12</f>
        <v/>
      </c>
      <c r="BB4" s="12">
        <f>RetailProForma!BB12</f>
        <v/>
      </c>
      <c r="BC4" s="12">
        <f>RetailProForma!BC12</f>
        <v/>
      </c>
      <c r="BD4" s="12">
        <f>RetailProForma!BD12</f>
        <v/>
      </c>
      <c r="BE4" s="12">
        <f>RetailProForma!BE12</f>
        <v/>
      </c>
      <c r="BF4" s="12">
        <f>RetailProForma!BF12</f>
        <v/>
      </c>
      <c r="BG4" s="12">
        <f>RetailProForma!BG12</f>
        <v/>
      </c>
      <c r="BH4" s="12">
        <f>RetailProForma!BH12</f>
        <v/>
      </c>
      <c r="BI4" s="12">
        <f>RetailProForma!BI12</f>
        <v/>
      </c>
      <c r="BJ4" s="12">
        <f>RetailProForma!BJ12</f>
        <v/>
      </c>
      <c r="BK4" s="12">
        <f>RetailProForma!BK12</f>
        <v/>
      </c>
      <c r="BL4" s="12">
        <f>RetailProForma!BL12</f>
        <v/>
      </c>
      <c r="BM4" s="12">
        <f>RetailProForma!BM12</f>
        <v/>
      </c>
      <c r="BN4" s="12">
        <f>RetailProForma!BN12</f>
        <v/>
      </c>
      <c r="BO4" s="12">
        <f>RetailProForma!BO12</f>
        <v/>
      </c>
      <c r="BP4" s="12">
        <f>RetailProForma!BP12</f>
        <v/>
      </c>
      <c r="BQ4" s="12">
        <f>RetailProForma!BQ12</f>
        <v/>
      </c>
      <c r="BR4" s="12">
        <f>RetailProForma!BR12</f>
        <v/>
      </c>
      <c r="BS4" s="12">
        <f>RetailProForma!BS12</f>
        <v/>
      </c>
      <c r="BT4" s="12">
        <f>RetailProForma!BT12</f>
        <v/>
      </c>
      <c r="BU4" s="12">
        <f>RetailProForma!BU12</f>
        <v/>
      </c>
      <c r="BV4" s="12">
        <f>RetailProForma!BV12</f>
        <v/>
      </c>
      <c r="BW4" s="12">
        <f>RetailProForma!BW12</f>
        <v/>
      </c>
      <c r="BX4" s="12">
        <f>RetailProForma!BX12</f>
        <v/>
      </c>
      <c r="BY4" s="12">
        <f>RetailProForma!BY12</f>
        <v/>
      </c>
      <c r="BZ4" s="12">
        <f>RetailProForma!BZ12</f>
        <v/>
      </c>
      <c r="CA4" s="12">
        <f>RetailProForma!CA12</f>
        <v/>
      </c>
      <c r="CB4" s="12">
        <f>RetailProForma!CB12</f>
        <v/>
      </c>
      <c r="CC4" s="12">
        <f>RetailProForma!CC12</f>
        <v/>
      </c>
      <c r="CD4" s="12">
        <f>RetailProForma!CD12</f>
        <v/>
      </c>
      <c r="CE4" s="12">
        <f>RetailProForma!CE12</f>
        <v/>
      </c>
      <c r="CF4" s="12">
        <f>RetailProForma!CF12</f>
        <v/>
      </c>
      <c r="CG4" s="12">
        <f>RetailProForma!CG12</f>
        <v/>
      </c>
      <c r="CH4" s="12">
        <f>RetailProForma!CH12</f>
        <v/>
      </c>
    </row>
    <row r="6">
      <c r="A6" s="3" t="inlineStr">
        <is>
          <t>T12 NOI at exit</t>
        </is>
      </c>
      <c r="B6" s="4" t="inlineStr">
        <is>
          <t>$</t>
        </is>
      </c>
      <c r="C6" s="12">
        <f>SUM(INDEX(C4:CH4,EXIT_M-11):INDEX(C4:CH4,EXIT_M))</f>
        <v/>
      </c>
      <c r="D6" s="4" t="inlineStr">
        <is>
          <t>Trailing 12 months ending EXIT_M.</t>
        </is>
      </c>
    </row>
    <row r="7">
      <c r="A7" s="3" t="inlineStr">
        <is>
          <t>Retail value</t>
        </is>
      </c>
      <c r="B7" s="4" t="inlineStr">
        <is>
          <t>$</t>
        </is>
      </c>
      <c r="C7" s="12">
        <f>C6/RETAIL_CAP</f>
        <v/>
      </c>
      <c r="D7" s="4" t="inlineStr">
        <is>
          <t>T12 NOI divided by RETAIL_CAP. No condo cap rate on this sheet.</t>
        </is>
      </c>
    </row>
    <row r="9">
      <c r="A9" s="1" t="inlineStr">
        <is>
          <t>T12 build-up</t>
        </is>
      </c>
    </row>
    <row r="10">
      <c r="A10" s="3" t="inlineStr">
        <is>
          <t>Trailing month 1</t>
        </is>
      </c>
      <c r="B10" s="4" t="inlineStr">
        <is>
          <t>month</t>
        </is>
      </c>
      <c r="C10" s="10">
        <f>INDEX($C$2:$CH$2,EXIT_M-12+1)</f>
        <v/>
      </c>
      <c r="D10" s="12">
        <f>INDEX($C$4:$CH$4,EXIT_M-12+1)</f>
        <v/>
      </c>
    </row>
    <row r="11">
      <c r="A11" s="3" t="inlineStr">
        <is>
          <t>Trailing month 2</t>
        </is>
      </c>
      <c r="B11" s="4" t="inlineStr">
        <is>
          <t>month</t>
        </is>
      </c>
      <c r="C11" s="10">
        <f>INDEX($C$2:$CH$2,EXIT_M-12+2)</f>
        <v/>
      </c>
      <c r="D11" s="12">
        <f>INDEX($C$4:$CH$4,EXIT_M-12+2)</f>
        <v/>
      </c>
    </row>
    <row r="12">
      <c r="A12" s="3" t="inlineStr">
        <is>
          <t>Trailing month 3</t>
        </is>
      </c>
      <c r="B12" s="4" t="inlineStr">
        <is>
          <t>month</t>
        </is>
      </c>
      <c r="C12" s="10">
        <f>INDEX($C$2:$CH$2,EXIT_M-12+3)</f>
        <v/>
      </c>
      <c r="D12" s="12">
        <f>INDEX($C$4:$CH$4,EXIT_M-12+3)</f>
        <v/>
      </c>
    </row>
    <row r="13">
      <c r="A13" s="3" t="inlineStr">
        <is>
          <t>Trailing month 4</t>
        </is>
      </c>
      <c r="B13" s="4" t="inlineStr">
        <is>
          <t>month</t>
        </is>
      </c>
      <c r="C13" s="10">
        <f>INDEX($C$2:$CH$2,EXIT_M-12+4)</f>
        <v/>
      </c>
      <c r="D13" s="12">
        <f>INDEX($C$4:$CH$4,EXIT_M-12+4)</f>
        <v/>
      </c>
    </row>
    <row r="14">
      <c r="A14" s="3" t="inlineStr">
        <is>
          <t>Trailing month 5</t>
        </is>
      </c>
      <c r="B14" s="4" t="inlineStr">
        <is>
          <t>month</t>
        </is>
      </c>
      <c r="C14" s="10">
        <f>INDEX($C$2:$CH$2,EXIT_M-12+5)</f>
        <v/>
      </c>
      <c r="D14" s="12">
        <f>INDEX($C$4:$CH$4,EXIT_M-12+5)</f>
        <v/>
      </c>
    </row>
    <row r="15">
      <c r="A15" s="3" t="inlineStr">
        <is>
          <t>Trailing month 6</t>
        </is>
      </c>
      <c r="B15" s="4" t="inlineStr">
        <is>
          <t>month</t>
        </is>
      </c>
      <c r="C15" s="10">
        <f>INDEX($C$2:$CH$2,EXIT_M-12+6)</f>
        <v/>
      </c>
      <c r="D15" s="12">
        <f>INDEX($C$4:$CH$4,EXIT_M-12+6)</f>
        <v/>
      </c>
    </row>
    <row r="16">
      <c r="A16" s="3" t="inlineStr">
        <is>
          <t>Trailing month 7</t>
        </is>
      </c>
      <c r="B16" s="4" t="inlineStr">
        <is>
          <t>month</t>
        </is>
      </c>
      <c r="C16" s="10">
        <f>INDEX($C$2:$CH$2,EXIT_M-12+7)</f>
        <v/>
      </c>
      <c r="D16" s="12">
        <f>INDEX($C$4:$CH$4,EXIT_M-12+7)</f>
        <v/>
      </c>
    </row>
    <row r="17">
      <c r="A17" s="3" t="inlineStr">
        <is>
          <t>Trailing month 8</t>
        </is>
      </c>
      <c r="B17" s="4" t="inlineStr">
        <is>
          <t>month</t>
        </is>
      </c>
      <c r="C17" s="10">
        <f>INDEX($C$2:$CH$2,EXIT_M-12+8)</f>
        <v/>
      </c>
      <c r="D17" s="12">
        <f>INDEX($C$4:$CH$4,EXIT_M-12+8)</f>
        <v/>
      </c>
    </row>
    <row r="18">
      <c r="A18" s="3" t="inlineStr">
        <is>
          <t>Trailing month 9</t>
        </is>
      </c>
      <c r="B18" s="4" t="inlineStr">
        <is>
          <t>month</t>
        </is>
      </c>
      <c r="C18" s="10">
        <f>INDEX($C$2:$CH$2,EXIT_M-12+9)</f>
        <v/>
      </c>
      <c r="D18" s="12">
        <f>INDEX($C$4:$CH$4,EXIT_M-12+9)</f>
        <v/>
      </c>
    </row>
    <row r="19">
      <c r="A19" s="3" t="inlineStr">
        <is>
          <t>Trailing month 10</t>
        </is>
      </c>
      <c r="B19" s="4" t="inlineStr">
        <is>
          <t>month</t>
        </is>
      </c>
      <c r="C19" s="10">
        <f>INDEX($C$2:$CH$2,EXIT_M-12+10)</f>
        <v/>
      </c>
      <c r="D19" s="12">
        <f>INDEX($C$4:$CH$4,EXIT_M-12+10)</f>
        <v/>
      </c>
    </row>
    <row r="20">
      <c r="A20" s="3" t="inlineStr">
        <is>
          <t>Trailing month 11</t>
        </is>
      </c>
      <c r="B20" s="4" t="inlineStr">
        <is>
          <t>month</t>
        </is>
      </c>
      <c r="C20" s="10">
        <f>INDEX($C$2:$CH$2,EXIT_M-12+11)</f>
        <v/>
      </c>
      <c r="D20" s="12">
        <f>INDEX($C$4:$CH$4,EXIT_M-12+11)</f>
        <v/>
      </c>
    </row>
    <row r="21">
      <c r="A21" s="3" t="inlineStr">
        <is>
          <t>Trailing month 12</t>
        </is>
      </c>
      <c r="B21" s="4" t="inlineStr">
        <is>
          <t>month</t>
        </is>
      </c>
      <c r="C21" s="10">
        <f>INDEX($C$2:$CH$2,EXIT_M-12+12)</f>
        <v/>
      </c>
      <c r="D21" s="12">
        <f>INDEX($C$4:$CH$4,EXIT_M-12+12)</f>
        <v/>
      </c>
    </row>
    <row r="22">
      <c r="A22" s="3" t="inlineStr">
        <is>
          <t>T12 build-up sum</t>
        </is>
      </c>
      <c r="B22" s="4" t="inlineStr">
        <is>
          <t>$</t>
        </is>
      </c>
      <c r="C22" s="12">
        <f>SUM(D10:D21)</f>
        <v/>
      </c>
    </row>
    <row r="23">
      <c r="A23" s="3" t="inlineStr">
        <is>
          <t>Build-up minus T12</t>
        </is>
      </c>
      <c r="B23" s="4" t="inlineStr">
        <is>
          <t>$</t>
        </is>
      </c>
      <c r="C23" s="14">
        <f>C22-C6</f>
        <v/>
      </c>
    </row>
  </sheetData>
  <autoFilter ref="A2:CH2"/>
  <pageMargins left="0.4" right="0.4" top="0.6" bottom="0.5" header="0.25" footer="0.25"/>
  <pageSetup orientation="landscape" paperSize="3" scale="55" fitToHeight="0" fitToWidth="1"/>
  <headerFooter>
    <oddHeader>&amp;LElite Luxury Mixed-Use  |  Illustrative template&amp;CRetailValuation</oddHeader>
    <oddFooter>&amp;LNot a live deal  |  Not an offering  |  Not investment advice&amp;RPage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H18"/>
  <sheetViews>
    <sheetView view="pageBreakPreview" zoomScale="8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</cols>
  <sheetData>
    <row r="1" ht="22" customHeight="1">
      <c r="A1" s="1" t="inlineStr">
        <is>
          <t>ProjectCF</t>
        </is>
      </c>
    </row>
    <row r="2">
      <c r="A2" s="3" t="inlineStr">
        <is>
          <t>Month</t>
        </is>
      </c>
      <c r="B2" t="inlineStr">
        <is>
          <t>index</t>
        </is>
      </c>
      <c r="C2" s="15">
        <f>COLUMN()-2</f>
        <v/>
      </c>
      <c r="D2" s="15">
        <f>COLUMN()-2</f>
        <v/>
      </c>
      <c r="E2" s="15">
        <f>COLUMN()-2</f>
        <v/>
      </c>
      <c r="F2" s="15">
        <f>COLUMN()-2</f>
        <v/>
      </c>
      <c r="G2" s="15">
        <f>COLUMN()-2</f>
        <v/>
      </c>
      <c r="H2" s="15">
        <f>COLUMN()-2</f>
        <v/>
      </c>
      <c r="I2" s="15">
        <f>COLUMN()-2</f>
        <v/>
      </c>
      <c r="J2" s="15">
        <f>COLUMN()-2</f>
        <v/>
      </c>
      <c r="K2" s="15">
        <f>COLUMN()-2</f>
        <v/>
      </c>
      <c r="L2" s="15">
        <f>COLUMN()-2</f>
        <v/>
      </c>
      <c r="M2" s="15">
        <f>COLUMN()-2</f>
        <v/>
      </c>
      <c r="N2" s="15">
        <f>COLUMN()-2</f>
        <v/>
      </c>
      <c r="O2" s="15">
        <f>COLUMN()-2</f>
        <v/>
      </c>
      <c r="P2" s="15">
        <f>COLUMN()-2</f>
        <v/>
      </c>
      <c r="Q2" s="15">
        <f>COLUMN()-2</f>
        <v/>
      </c>
      <c r="R2" s="15">
        <f>COLUMN()-2</f>
        <v/>
      </c>
      <c r="S2" s="15">
        <f>COLUMN()-2</f>
        <v/>
      </c>
      <c r="T2" s="15">
        <f>COLUMN()-2</f>
        <v/>
      </c>
      <c r="U2" s="15">
        <f>COLUMN()-2</f>
        <v/>
      </c>
      <c r="V2" s="15">
        <f>COLUMN()-2</f>
        <v/>
      </c>
      <c r="W2" s="15">
        <f>COLUMN()-2</f>
        <v/>
      </c>
      <c r="X2" s="15">
        <f>COLUMN()-2</f>
        <v/>
      </c>
      <c r="Y2" s="15">
        <f>COLUMN()-2</f>
        <v/>
      </c>
      <c r="Z2" s="15">
        <f>COLUMN()-2</f>
        <v/>
      </c>
      <c r="AA2" s="15">
        <f>COLUMN()-2</f>
        <v/>
      </c>
      <c r="AB2" s="15">
        <f>COLUMN()-2</f>
        <v/>
      </c>
      <c r="AC2" s="15">
        <f>COLUMN()-2</f>
        <v/>
      </c>
      <c r="AD2" s="15">
        <f>COLUMN()-2</f>
        <v/>
      </c>
      <c r="AE2" s="15">
        <f>COLUMN()-2</f>
        <v/>
      </c>
      <c r="AF2" s="15">
        <f>COLUMN()-2</f>
        <v/>
      </c>
      <c r="AG2" s="15">
        <f>COLUMN()-2</f>
        <v/>
      </c>
      <c r="AH2" s="15">
        <f>COLUMN()-2</f>
        <v/>
      </c>
      <c r="AI2" s="15">
        <f>COLUMN()-2</f>
        <v/>
      </c>
      <c r="AJ2" s="15">
        <f>COLUMN()-2</f>
        <v/>
      </c>
      <c r="AK2" s="15">
        <f>COLUMN()-2</f>
        <v/>
      </c>
      <c r="AL2" s="15">
        <f>COLUMN()-2</f>
        <v/>
      </c>
      <c r="AM2" s="15">
        <f>COLUMN()-2</f>
        <v/>
      </c>
      <c r="AN2" s="15">
        <f>COLUMN()-2</f>
        <v/>
      </c>
      <c r="AO2" s="15">
        <f>COLUMN()-2</f>
        <v/>
      </c>
      <c r="AP2" s="15">
        <f>COLUMN()-2</f>
        <v/>
      </c>
      <c r="AQ2" s="15">
        <f>COLUMN()-2</f>
        <v/>
      </c>
      <c r="AR2" s="15">
        <f>COLUMN()-2</f>
        <v/>
      </c>
      <c r="AS2" s="15">
        <f>COLUMN()-2</f>
        <v/>
      </c>
      <c r="AT2" s="15">
        <f>COLUMN()-2</f>
        <v/>
      </c>
      <c r="AU2" s="15">
        <f>COLUMN()-2</f>
        <v/>
      </c>
      <c r="AV2" s="15">
        <f>COLUMN()-2</f>
        <v/>
      </c>
      <c r="AW2" s="15">
        <f>COLUMN()-2</f>
        <v/>
      </c>
      <c r="AX2" s="15">
        <f>COLUMN()-2</f>
        <v/>
      </c>
      <c r="AY2" s="15">
        <f>COLUMN()-2</f>
        <v/>
      </c>
      <c r="AZ2" s="15">
        <f>COLUMN()-2</f>
        <v/>
      </c>
      <c r="BA2" s="15">
        <f>COLUMN()-2</f>
        <v/>
      </c>
      <c r="BB2" s="15">
        <f>COLUMN()-2</f>
        <v/>
      </c>
      <c r="BC2" s="15">
        <f>COLUMN()-2</f>
        <v/>
      </c>
      <c r="BD2" s="15">
        <f>COLUMN()-2</f>
        <v/>
      </c>
      <c r="BE2" s="15">
        <f>COLUMN()-2</f>
        <v/>
      </c>
      <c r="BF2" s="15">
        <f>COLUMN()-2</f>
        <v/>
      </c>
      <c r="BG2" s="15">
        <f>COLUMN()-2</f>
        <v/>
      </c>
      <c r="BH2" s="15">
        <f>COLUMN()-2</f>
        <v/>
      </c>
      <c r="BI2" s="15">
        <f>COLUMN()-2</f>
        <v/>
      </c>
      <c r="BJ2" s="15">
        <f>COLUMN()-2</f>
        <v/>
      </c>
      <c r="BK2" s="15">
        <f>COLUMN()-2</f>
        <v/>
      </c>
      <c r="BL2" s="15">
        <f>COLUMN()-2</f>
        <v/>
      </c>
      <c r="BM2" s="15">
        <f>COLUMN()-2</f>
        <v/>
      </c>
      <c r="BN2" s="15">
        <f>COLUMN()-2</f>
        <v/>
      </c>
      <c r="BO2" s="15">
        <f>COLUMN()-2</f>
        <v/>
      </c>
      <c r="BP2" s="15">
        <f>COLUMN()-2</f>
        <v/>
      </c>
      <c r="BQ2" s="15">
        <f>COLUMN()-2</f>
        <v/>
      </c>
      <c r="BR2" s="15">
        <f>COLUMN()-2</f>
        <v/>
      </c>
      <c r="BS2" s="15">
        <f>COLUMN()-2</f>
        <v/>
      </c>
      <c r="BT2" s="15">
        <f>COLUMN()-2</f>
        <v/>
      </c>
      <c r="BU2" s="15">
        <f>COLUMN()-2</f>
        <v/>
      </c>
      <c r="BV2" s="15">
        <f>COLUMN()-2</f>
        <v/>
      </c>
      <c r="BW2" s="15">
        <f>COLUMN()-2</f>
        <v/>
      </c>
      <c r="BX2" s="15">
        <f>COLUMN()-2</f>
        <v/>
      </c>
      <c r="BY2" s="15">
        <f>COLUMN()-2</f>
        <v/>
      </c>
      <c r="BZ2" s="15">
        <f>COLUMN()-2</f>
        <v/>
      </c>
      <c r="CA2" s="15">
        <f>COLUMN()-2</f>
        <v/>
      </c>
      <c r="CB2" s="15">
        <f>COLUMN()-2</f>
        <v/>
      </c>
      <c r="CC2" s="15">
        <f>COLUMN()-2</f>
        <v/>
      </c>
      <c r="CD2" s="15">
        <f>COLUMN()-2</f>
        <v/>
      </c>
      <c r="CE2" s="15">
        <f>COLUMN()-2</f>
        <v/>
      </c>
      <c r="CF2" s="15">
        <f>COLUMN()-2</f>
        <v/>
      </c>
      <c r="CG2" s="15">
        <f>COLUMN()-2</f>
        <v/>
      </c>
      <c r="CH2" s="15">
        <f>COLUMN()-2</f>
        <v/>
      </c>
    </row>
    <row r="3">
      <c r="A3" s="3" t="inlineStr">
        <is>
          <t>Date</t>
        </is>
      </c>
      <c r="B3" t="inlineStr">
        <is>
          <t>month-end</t>
        </is>
      </c>
      <c r="C3" s="11">
        <f>EOMONTH(DATE(2026,1,1),C2-1)</f>
        <v/>
      </c>
      <c r="D3" s="11">
        <f>EOMONTH(DATE(2026,1,1),D2-1)</f>
        <v/>
      </c>
      <c r="E3" s="11">
        <f>EOMONTH(DATE(2026,1,1),E2-1)</f>
        <v/>
      </c>
      <c r="F3" s="11">
        <f>EOMONTH(DATE(2026,1,1),F2-1)</f>
        <v/>
      </c>
      <c r="G3" s="11">
        <f>EOMONTH(DATE(2026,1,1),G2-1)</f>
        <v/>
      </c>
      <c r="H3" s="11">
        <f>EOMONTH(DATE(2026,1,1),H2-1)</f>
        <v/>
      </c>
      <c r="I3" s="11">
        <f>EOMONTH(DATE(2026,1,1),I2-1)</f>
        <v/>
      </c>
      <c r="J3" s="11">
        <f>EOMONTH(DATE(2026,1,1),J2-1)</f>
        <v/>
      </c>
      <c r="K3" s="11">
        <f>EOMONTH(DATE(2026,1,1),K2-1)</f>
        <v/>
      </c>
      <c r="L3" s="11">
        <f>EOMONTH(DATE(2026,1,1),L2-1)</f>
        <v/>
      </c>
      <c r="M3" s="11">
        <f>EOMONTH(DATE(2026,1,1),M2-1)</f>
        <v/>
      </c>
      <c r="N3" s="11">
        <f>EOMONTH(DATE(2026,1,1),N2-1)</f>
        <v/>
      </c>
      <c r="O3" s="11">
        <f>EOMONTH(DATE(2026,1,1),O2-1)</f>
        <v/>
      </c>
      <c r="P3" s="11">
        <f>EOMONTH(DATE(2026,1,1),P2-1)</f>
        <v/>
      </c>
      <c r="Q3" s="11">
        <f>EOMONTH(DATE(2026,1,1),Q2-1)</f>
        <v/>
      </c>
      <c r="R3" s="11">
        <f>EOMONTH(DATE(2026,1,1),R2-1)</f>
        <v/>
      </c>
      <c r="S3" s="11">
        <f>EOMONTH(DATE(2026,1,1),S2-1)</f>
        <v/>
      </c>
      <c r="T3" s="11">
        <f>EOMONTH(DATE(2026,1,1),T2-1)</f>
        <v/>
      </c>
      <c r="U3" s="11">
        <f>EOMONTH(DATE(2026,1,1),U2-1)</f>
        <v/>
      </c>
      <c r="V3" s="11">
        <f>EOMONTH(DATE(2026,1,1),V2-1)</f>
        <v/>
      </c>
      <c r="W3" s="11">
        <f>EOMONTH(DATE(2026,1,1),W2-1)</f>
        <v/>
      </c>
      <c r="X3" s="11">
        <f>EOMONTH(DATE(2026,1,1),X2-1)</f>
        <v/>
      </c>
      <c r="Y3" s="11">
        <f>EOMONTH(DATE(2026,1,1),Y2-1)</f>
        <v/>
      </c>
      <c r="Z3" s="11">
        <f>EOMONTH(DATE(2026,1,1),Z2-1)</f>
        <v/>
      </c>
      <c r="AA3" s="11">
        <f>EOMONTH(DATE(2026,1,1),AA2-1)</f>
        <v/>
      </c>
      <c r="AB3" s="11">
        <f>EOMONTH(DATE(2026,1,1),AB2-1)</f>
        <v/>
      </c>
      <c r="AC3" s="11">
        <f>EOMONTH(DATE(2026,1,1),AC2-1)</f>
        <v/>
      </c>
      <c r="AD3" s="11">
        <f>EOMONTH(DATE(2026,1,1),AD2-1)</f>
        <v/>
      </c>
      <c r="AE3" s="11">
        <f>EOMONTH(DATE(2026,1,1),AE2-1)</f>
        <v/>
      </c>
      <c r="AF3" s="11">
        <f>EOMONTH(DATE(2026,1,1),AF2-1)</f>
        <v/>
      </c>
      <c r="AG3" s="11">
        <f>EOMONTH(DATE(2026,1,1),AG2-1)</f>
        <v/>
      </c>
      <c r="AH3" s="11">
        <f>EOMONTH(DATE(2026,1,1),AH2-1)</f>
        <v/>
      </c>
      <c r="AI3" s="11">
        <f>EOMONTH(DATE(2026,1,1),AI2-1)</f>
        <v/>
      </c>
      <c r="AJ3" s="11">
        <f>EOMONTH(DATE(2026,1,1),AJ2-1)</f>
        <v/>
      </c>
      <c r="AK3" s="11">
        <f>EOMONTH(DATE(2026,1,1),AK2-1)</f>
        <v/>
      </c>
      <c r="AL3" s="11">
        <f>EOMONTH(DATE(2026,1,1),AL2-1)</f>
        <v/>
      </c>
      <c r="AM3" s="11">
        <f>EOMONTH(DATE(2026,1,1),AM2-1)</f>
        <v/>
      </c>
      <c r="AN3" s="11">
        <f>EOMONTH(DATE(2026,1,1),AN2-1)</f>
        <v/>
      </c>
      <c r="AO3" s="11">
        <f>EOMONTH(DATE(2026,1,1),AO2-1)</f>
        <v/>
      </c>
      <c r="AP3" s="11">
        <f>EOMONTH(DATE(2026,1,1),AP2-1)</f>
        <v/>
      </c>
      <c r="AQ3" s="11">
        <f>EOMONTH(DATE(2026,1,1),AQ2-1)</f>
        <v/>
      </c>
      <c r="AR3" s="11">
        <f>EOMONTH(DATE(2026,1,1),AR2-1)</f>
        <v/>
      </c>
      <c r="AS3" s="11">
        <f>EOMONTH(DATE(2026,1,1),AS2-1)</f>
        <v/>
      </c>
      <c r="AT3" s="11">
        <f>EOMONTH(DATE(2026,1,1),AT2-1)</f>
        <v/>
      </c>
      <c r="AU3" s="11">
        <f>EOMONTH(DATE(2026,1,1),AU2-1)</f>
        <v/>
      </c>
      <c r="AV3" s="11">
        <f>EOMONTH(DATE(2026,1,1),AV2-1)</f>
        <v/>
      </c>
      <c r="AW3" s="11">
        <f>EOMONTH(DATE(2026,1,1),AW2-1)</f>
        <v/>
      </c>
      <c r="AX3" s="11">
        <f>EOMONTH(DATE(2026,1,1),AX2-1)</f>
        <v/>
      </c>
      <c r="AY3" s="11">
        <f>EOMONTH(DATE(2026,1,1),AY2-1)</f>
        <v/>
      </c>
      <c r="AZ3" s="11">
        <f>EOMONTH(DATE(2026,1,1),AZ2-1)</f>
        <v/>
      </c>
      <c r="BA3" s="11">
        <f>EOMONTH(DATE(2026,1,1),BA2-1)</f>
        <v/>
      </c>
      <c r="BB3" s="11">
        <f>EOMONTH(DATE(2026,1,1),BB2-1)</f>
        <v/>
      </c>
      <c r="BC3" s="11">
        <f>EOMONTH(DATE(2026,1,1),BC2-1)</f>
        <v/>
      </c>
      <c r="BD3" s="11">
        <f>EOMONTH(DATE(2026,1,1),BD2-1)</f>
        <v/>
      </c>
      <c r="BE3" s="11">
        <f>EOMONTH(DATE(2026,1,1),BE2-1)</f>
        <v/>
      </c>
      <c r="BF3" s="11">
        <f>EOMONTH(DATE(2026,1,1),BF2-1)</f>
        <v/>
      </c>
      <c r="BG3" s="11">
        <f>EOMONTH(DATE(2026,1,1),BG2-1)</f>
        <v/>
      </c>
      <c r="BH3" s="11">
        <f>EOMONTH(DATE(2026,1,1),BH2-1)</f>
        <v/>
      </c>
      <c r="BI3" s="11">
        <f>EOMONTH(DATE(2026,1,1),BI2-1)</f>
        <v/>
      </c>
      <c r="BJ3" s="11">
        <f>EOMONTH(DATE(2026,1,1),BJ2-1)</f>
        <v/>
      </c>
      <c r="BK3" s="11">
        <f>EOMONTH(DATE(2026,1,1),BK2-1)</f>
        <v/>
      </c>
      <c r="BL3" s="11">
        <f>EOMONTH(DATE(2026,1,1),BL2-1)</f>
        <v/>
      </c>
      <c r="BM3" s="11">
        <f>EOMONTH(DATE(2026,1,1),BM2-1)</f>
        <v/>
      </c>
      <c r="BN3" s="11">
        <f>EOMONTH(DATE(2026,1,1),BN2-1)</f>
        <v/>
      </c>
      <c r="BO3" s="11">
        <f>EOMONTH(DATE(2026,1,1),BO2-1)</f>
        <v/>
      </c>
      <c r="BP3" s="11">
        <f>EOMONTH(DATE(2026,1,1),BP2-1)</f>
        <v/>
      </c>
      <c r="BQ3" s="11">
        <f>EOMONTH(DATE(2026,1,1),BQ2-1)</f>
        <v/>
      </c>
      <c r="BR3" s="11">
        <f>EOMONTH(DATE(2026,1,1),BR2-1)</f>
        <v/>
      </c>
      <c r="BS3" s="11">
        <f>EOMONTH(DATE(2026,1,1),BS2-1)</f>
        <v/>
      </c>
      <c r="BT3" s="11">
        <f>EOMONTH(DATE(2026,1,1),BT2-1)</f>
        <v/>
      </c>
      <c r="BU3" s="11">
        <f>EOMONTH(DATE(2026,1,1),BU2-1)</f>
        <v/>
      </c>
      <c r="BV3" s="11">
        <f>EOMONTH(DATE(2026,1,1),BV2-1)</f>
        <v/>
      </c>
      <c r="BW3" s="11">
        <f>EOMONTH(DATE(2026,1,1),BW2-1)</f>
        <v/>
      </c>
      <c r="BX3" s="11">
        <f>EOMONTH(DATE(2026,1,1),BX2-1)</f>
        <v/>
      </c>
      <c r="BY3" s="11">
        <f>EOMONTH(DATE(2026,1,1),BY2-1)</f>
        <v/>
      </c>
      <c r="BZ3" s="11">
        <f>EOMONTH(DATE(2026,1,1),BZ2-1)</f>
        <v/>
      </c>
      <c r="CA3" s="11">
        <f>EOMONTH(DATE(2026,1,1),CA2-1)</f>
        <v/>
      </c>
      <c r="CB3" s="11">
        <f>EOMONTH(DATE(2026,1,1),CB2-1)</f>
        <v/>
      </c>
      <c r="CC3" s="11">
        <f>EOMONTH(DATE(2026,1,1),CC2-1)</f>
        <v/>
      </c>
      <c r="CD3" s="11">
        <f>EOMONTH(DATE(2026,1,1),CD2-1)</f>
        <v/>
      </c>
      <c r="CE3" s="11">
        <f>EOMONTH(DATE(2026,1,1),CE2-1)</f>
        <v/>
      </c>
      <c r="CF3" s="11">
        <f>EOMONTH(DATE(2026,1,1),CF2-1)</f>
        <v/>
      </c>
      <c r="CG3" s="11">
        <f>EOMONTH(DATE(2026,1,1),CG2-1)</f>
        <v/>
      </c>
      <c r="CH3" s="11">
        <f>EOMONTH(DATE(2026,1,1),CH2-1)</f>
        <v/>
      </c>
    </row>
    <row r="4">
      <c r="A4" s="3" t="inlineStr">
        <is>
          <t>Condo net revenue</t>
        </is>
      </c>
      <c r="B4" s="4" t="inlineStr">
        <is>
          <t>$</t>
        </is>
      </c>
      <c r="C4" s="12">
        <f>CondoSellout!C16</f>
        <v/>
      </c>
      <c r="D4" s="12">
        <f>CondoSellout!D16</f>
        <v/>
      </c>
      <c r="E4" s="12">
        <f>CondoSellout!E16</f>
        <v/>
      </c>
      <c r="F4" s="12">
        <f>CondoSellout!F16</f>
        <v/>
      </c>
      <c r="G4" s="12">
        <f>CondoSellout!G16</f>
        <v/>
      </c>
      <c r="H4" s="12">
        <f>CondoSellout!H16</f>
        <v/>
      </c>
      <c r="I4" s="12">
        <f>CondoSellout!I16</f>
        <v/>
      </c>
      <c r="J4" s="12">
        <f>CondoSellout!J16</f>
        <v/>
      </c>
      <c r="K4" s="12">
        <f>CondoSellout!K16</f>
        <v/>
      </c>
      <c r="L4" s="12">
        <f>CondoSellout!L16</f>
        <v/>
      </c>
      <c r="M4" s="12">
        <f>CondoSellout!M16</f>
        <v/>
      </c>
      <c r="N4" s="12">
        <f>CondoSellout!N16</f>
        <v/>
      </c>
      <c r="O4" s="12">
        <f>CondoSellout!O16</f>
        <v/>
      </c>
      <c r="P4" s="12">
        <f>CondoSellout!P16</f>
        <v/>
      </c>
      <c r="Q4" s="12">
        <f>CondoSellout!Q16</f>
        <v/>
      </c>
      <c r="R4" s="12">
        <f>CondoSellout!R16</f>
        <v/>
      </c>
      <c r="S4" s="12">
        <f>CondoSellout!S16</f>
        <v/>
      </c>
      <c r="T4" s="12">
        <f>CondoSellout!T16</f>
        <v/>
      </c>
      <c r="U4" s="12">
        <f>CondoSellout!U16</f>
        <v/>
      </c>
      <c r="V4" s="12">
        <f>CondoSellout!V16</f>
        <v/>
      </c>
      <c r="W4" s="12">
        <f>CondoSellout!W16</f>
        <v/>
      </c>
      <c r="X4" s="12">
        <f>CondoSellout!X16</f>
        <v/>
      </c>
      <c r="Y4" s="12">
        <f>CondoSellout!Y16</f>
        <v/>
      </c>
      <c r="Z4" s="12">
        <f>CondoSellout!Z16</f>
        <v/>
      </c>
      <c r="AA4" s="12">
        <f>CondoSellout!AA16</f>
        <v/>
      </c>
      <c r="AB4" s="12">
        <f>CondoSellout!AB16</f>
        <v/>
      </c>
      <c r="AC4" s="12">
        <f>CondoSellout!AC16</f>
        <v/>
      </c>
      <c r="AD4" s="12">
        <f>CondoSellout!AD16</f>
        <v/>
      </c>
      <c r="AE4" s="12">
        <f>CondoSellout!AE16</f>
        <v/>
      </c>
      <c r="AF4" s="12">
        <f>CondoSellout!AF16</f>
        <v/>
      </c>
      <c r="AG4" s="12">
        <f>CondoSellout!AG16</f>
        <v/>
      </c>
      <c r="AH4" s="12">
        <f>CondoSellout!AH16</f>
        <v/>
      </c>
      <c r="AI4" s="12">
        <f>CondoSellout!AI16</f>
        <v/>
      </c>
      <c r="AJ4" s="12">
        <f>CondoSellout!AJ16</f>
        <v/>
      </c>
      <c r="AK4" s="12">
        <f>CondoSellout!AK16</f>
        <v/>
      </c>
      <c r="AL4" s="12">
        <f>CondoSellout!AL16</f>
        <v/>
      </c>
      <c r="AM4" s="12">
        <f>CondoSellout!AM16</f>
        <v/>
      </c>
      <c r="AN4" s="12">
        <f>CondoSellout!AN16</f>
        <v/>
      </c>
      <c r="AO4" s="12">
        <f>CondoSellout!AO16</f>
        <v/>
      </c>
      <c r="AP4" s="12">
        <f>CondoSellout!AP16</f>
        <v/>
      </c>
      <c r="AQ4" s="12">
        <f>CondoSellout!AQ16</f>
        <v/>
      </c>
      <c r="AR4" s="12">
        <f>CondoSellout!AR16</f>
        <v/>
      </c>
      <c r="AS4" s="12">
        <f>CondoSellout!AS16</f>
        <v/>
      </c>
      <c r="AT4" s="12">
        <f>CondoSellout!AT16</f>
        <v/>
      </c>
      <c r="AU4" s="12">
        <f>CondoSellout!AU16</f>
        <v/>
      </c>
      <c r="AV4" s="12">
        <f>CondoSellout!AV16</f>
        <v/>
      </c>
      <c r="AW4" s="12">
        <f>CondoSellout!AW16</f>
        <v/>
      </c>
      <c r="AX4" s="12">
        <f>CondoSellout!AX16</f>
        <v/>
      </c>
      <c r="AY4" s="12">
        <f>CondoSellout!AY16</f>
        <v/>
      </c>
      <c r="AZ4" s="12">
        <f>CondoSellout!AZ16</f>
        <v/>
      </c>
      <c r="BA4" s="12">
        <f>CondoSellout!BA16</f>
        <v/>
      </c>
      <c r="BB4" s="12">
        <f>CondoSellout!BB16</f>
        <v/>
      </c>
      <c r="BC4" s="12">
        <f>CondoSellout!BC16</f>
        <v/>
      </c>
      <c r="BD4" s="12">
        <f>CondoSellout!BD16</f>
        <v/>
      </c>
      <c r="BE4" s="12">
        <f>CondoSellout!BE16</f>
        <v/>
      </c>
      <c r="BF4" s="12">
        <f>CondoSellout!BF16</f>
        <v/>
      </c>
      <c r="BG4" s="12">
        <f>CondoSellout!BG16</f>
        <v/>
      </c>
      <c r="BH4" s="12">
        <f>CondoSellout!BH16</f>
        <v/>
      </c>
      <c r="BI4" s="12">
        <f>CondoSellout!BI16</f>
        <v/>
      </c>
      <c r="BJ4" s="12">
        <f>CondoSellout!BJ16</f>
        <v/>
      </c>
      <c r="BK4" s="12">
        <f>CondoSellout!BK16</f>
        <v/>
      </c>
      <c r="BL4" s="12">
        <f>CondoSellout!BL16</f>
        <v/>
      </c>
      <c r="BM4" s="12">
        <f>CondoSellout!BM16</f>
        <v/>
      </c>
      <c r="BN4" s="12">
        <f>CondoSellout!BN16</f>
        <v/>
      </c>
      <c r="BO4" s="12">
        <f>CondoSellout!BO16</f>
        <v/>
      </c>
      <c r="BP4" s="12">
        <f>CondoSellout!BP16</f>
        <v/>
      </c>
      <c r="BQ4" s="12">
        <f>CondoSellout!BQ16</f>
        <v/>
      </c>
      <c r="BR4" s="12">
        <f>CondoSellout!BR16</f>
        <v/>
      </c>
      <c r="BS4" s="12">
        <f>CondoSellout!BS16</f>
        <v/>
      </c>
      <c r="BT4" s="12">
        <f>CondoSellout!BT16</f>
        <v/>
      </c>
      <c r="BU4" s="12">
        <f>CondoSellout!BU16</f>
        <v/>
      </c>
      <c r="BV4" s="12">
        <f>CondoSellout!BV16</f>
        <v/>
      </c>
      <c r="BW4" s="12">
        <f>CondoSellout!BW16</f>
        <v/>
      </c>
      <c r="BX4" s="12">
        <f>CondoSellout!BX16</f>
        <v/>
      </c>
      <c r="BY4" s="12">
        <f>CondoSellout!BY16</f>
        <v/>
      </c>
      <c r="BZ4" s="12">
        <f>CondoSellout!BZ16</f>
        <v/>
      </c>
      <c r="CA4" s="12">
        <f>CondoSellout!CA16</f>
        <v/>
      </c>
      <c r="CB4" s="12">
        <f>CondoSellout!CB16</f>
        <v/>
      </c>
      <c r="CC4" s="12">
        <f>CondoSellout!CC16</f>
        <v/>
      </c>
      <c r="CD4" s="12">
        <f>CondoSellout!CD16</f>
        <v/>
      </c>
      <c r="CE4" s="12">
        <f>CondoSellout!CE16</f>
        <v/>
      </c>
      <c r="CF4" s="12">
        <f>CondoSellout!CF16</f>
        <v/>
      </c>
      <c r="CG4" s="12">
        <f>CondoSellout!CG16</f>
        <v/>
      </c>
      <c r="CH4" s="12">
        <f>CondoSellout!CH16</f>
        <v/>
      </c>
    </row>
    <row r="5">
      <c r="A5" s="3" t="inlineStr">
        <is>
          <t>Condo applied to construction debt</t>
        </is>
      </c>
      <c r="B5" s="4" t="inlineStr">
        <is>
          <t>$</t>
        </is>
      </c>
      <c r="C5" s="12">
        <f>ConstructionDebt!C18</f>
        <v/>
      </c>
      <c r="D5" s="12">
        <f>ConstructionDebt!D18</f>
        <v/>
      </c>
      <c r="E5" s="12">
        <f>ConstructionDebt!E18</f>
        <v/>
      </c>
      <c r="F5" s="12">
        <f>ConstructionDebt!F18</f>
        <v/>
      </c>
      <c r="G5" s="12">
        <f>ConstructionDebt!G18</f>
        <v/>
      </c>
      <c r="H5" s="12">
        <f>ConstructionDebt!H18</f>
        <v/>
      </c>
      <c r="I5" s="12">
        <f>ConstructionDebt!I18</f>
        <v/>
      </c>
      <c r="J5" s="12">
        <f>ConstructionDebt!J18</f>
        <v/>
      </c>
      <c r="K5" s="12">
        <f>ConstructionDebt!K18</f>
        <v/>
      </c>
      <c r="L5" s="12">
        <f>ConstructionDebt!L18</f>
        <v/>
      </c>
      <c r="M5" s="12">
        <f>ConstructionDebt!M18</f>
        <v/>
      </c>
      <c r="N5" s="12">
        <f>ConstructionDebt!N18</f>
        <v/>
      </c>
      <c r="O5" s="12">
        <f>ConstructionDebt!O18</f>
        <v/>
      </c>
      <c r="P5" s="12">
        <f>ConstructionDebt!P18</f>
        <v/>
      </c>
      <c r="Q5" s="12">
        <f>ConstructionDebt!Q18</f>
        <v/>
      </c>
      <c r="R5" s="12">
        <f>ConstructionDebt!R18</f>
        <v/>
      </c>
      <c r="S5" s="12">
        <f>ConstructionDebt!S18</f>
        <v/>
      </c>
      <c r="T5" s="12">
        <f>ConstructionDebt!T18</f>
        <v/>
      </c>
      <c r="U5" s="12">
        <f>ConstructionDebt!U18</f>
        <v/>
      </c>
      <c r="V5" s="12">
        <f>ConstructionDebt!V18</f>
        <v/>
      </c>
      <c r="W5" s="12">
        <f>ConstructionDebt!W18</f>
        <v/>
      </c>
      <c r="X5" s="12">
        <f>ConstructionDebt!X18</f>
        <v/>
      </c>
      <c r="Y5" s="12">
        <f>ConstructionDebt!Y18</f>
        <v/>
      </c>
      <c r="Z5" s="12">
        <f>ConstructionDebt!Z18</f>
        <v/>
      </c>
      <c r="AA5" s="12">
        <f>ConstructionDebt!AA18</f>
        <v/>
      </c>
      <c r="AB5" s="12">
        <f>ConstructionDebt!AB18</f>
        <v/>
      </c>
      <c r="AC5" s="12">
        <f>ConstructionDebt!AC18</f>
        <v/>
      </c>
      <c r="AD5" s="12">
        <f>ConstructionDebt!AD18</f>
        <v/>
      </c>
      <c r="AE5" s="12">
        <f>ConstructionDebt!AE18</f>
        <v/>
      </c>
      <c r="AF5" s="12">
        <f>ConstructionDebt!AF18</f>
        <v/>
      </c>
      <c r="AG5" s="12">
        <f>ConstructionDebt!AG18</f>
        <v/>
      </c>
      <c r="AH5" s="12">
        <f>ConstructionDebt!AH18</f>
        <v/>
      </c>
      <c r="AI5" s="12">
        <f>ConstructionDebt!AI18</f>
        <v/>
      </c>
      <c r="AJ5" s="12">
        <f>ConstructionDebt!AJ18</f>
        <v/>
      </c>
      <c r="AK5" s="12">
        <f>ConstructionDebt!AK18</f>
        <v/>
      </c>
      <c r="AL5" s="12">
        <f>ConstructionDebt!AL18</f>
        <v/>
      </c>
      <c r="AM5" s="12">
        <f>ConstructionDebt!AM18</f>
        <v/>
      </c>
      <c r="AN5" s="12">
        <f>ConstructionDebt!AN18</f>
        <v/>
      </c>
      <c r="AO5" s="12">
        <f>ConstructionDebt!AO18</f>
        <v/>
      </c>
      <c r="AP5" s="12">
        <f>ConstructionDebt!AP18</f>
        <v/>
      </c>
      <c r="AQ5" s="12">
        <f>ConstructionDebt!AQ18</f>
        <v/>
      </c>
      <c r="AR5" s="12">
        <f>ConstructionDebt!AR18</f>
        <v/>
      </c>
      <c r="AS5" s="12">
        <f>ConstructionDebt!AS18</f>
        <v/>
      </c>
      <c r="AT5" s="12">
        <f>ConstructionDebt!AT18</f>
        <v/>
      </c>
      <c r="AU5" s="12">
        <f>ConstructionDebt!AU18</f>
        <v/>
      </c>
      <c r="AV5" s="12">
        <f>ConstructionDebt!AV18</f>
        <v/>
      </c>
      <c r="AW5" s="12">
        <f>ConstructionDebt!AW18</f>
        <v/>
      </c>
      <c r="AX5" s="12">
        <f>ConstructionDebt!AX18</f>
        <v/>
      </c>
      <c r="AY5" s="12">
        <f>ConstructionDebt!AY18</f>
        <v/>
      </c>
      <c r="AZ5" s="12">
        <f>ConstructionDebt!AZ18</f>
        <v/>
      </c>
      <c r="BA5" s="12">
        <f>ConstructionDebt!BA18</f>
        <v/>
      </c>
      <c r="BB5" s="12">
        <f>ConstructionDebt!BB18</f>
        <v/>
      </c>
      <c r="BC5" s="12">
        <f>ConstructionDebt!BC18</f>
        <v/>
      </c>
      <c r="BD5" s="12">
        <f>ConstructionDebt!BD18</f>
        <v/>
      </c>
      <c r="BE5" s="12">
        <f>ConstructionDebt!BE18</f>
        <v/>
      </c>
      <c r="BF5" s="12">
        <f>ConstructionDebt!BF18</f>
        <v/>
      </c>
      <c r="BG5" s="12">
        <f>ConstructionDebt!BG18</f>
        <v/>
      </c>
      <c r="BH5" s="12">
        <f>ConstructionDebt!BH18</f>
        <v/>
      </c>
      <c r="BI5" s="12">
        <f>ConstructionDebt!BI18</f>
        <v/>
      </c>
      <c r="BJ5" s="12">
        <f>ConstructionDebt!BJ18</f>
        <v/>
      </c>
      <c r="BK5" s="12">
        <f>ConstructionDebt!BK18</f>
        <v/>
      </c>
      <c r="BL5" s="12">
        <f>ConstructionDebt!BL18</f>
        <v/>
      </c>
      <c r="BM5" s="12">
        <f>ConstructionDebt!BM18</f>
        <v/>
      </c>
      <c r="BN5" s="12">
        <f>ConstructionDebt!BN18</f>
        <v/>
      </c>
      <c r="BO5" s="12">
        <f>ConstructionDebt!BO18</f>
        <v/>
      </c>
      <c r="BP5" s="12">
        <f>ConstructionDebt!BP18</f>
        <v/>
      </c>
      <c r="BQ5" s="12">
        <f>ConstructionDebt!BQ18</f>
        <v/>
      </c>
      <c r="BR5" s="12">
        <f>ConstructionDebt!BR18</f>
        <v/>
      </c>
      <c r="BS5" s="12">
        <f>ConstructionDebt!BS18</f>
        <v/>
      </c>
      <c r="BT5" s="12">
        <f>ConstructionDebt!BT18</f>
        <v/>
      </c>
      <c r="BU5" s="12">
        <f>ConstructionDebt!BU18</f>
        <v/>
      </c>
      <c r="BV5" s="12">
        <f>ConstructionDebt!BV18</f>
        <v/>
      </c>
      <c r="BW5" s="12">
        <f>ConstructionDebt!BW18</f>
        <v/>
      </c>
      <c r="BX5" s="12">
        <f>ConstructionDebt!BX18</f>
        <v/>
      </c>
      <c r="BY5" s="12">
        <f>ConstructionDebt!BY18</f>
        <v/>
      </c>
      <c r="BZ5" s="12">
        <f>ConstructionDebt!BZ18</f>
        <v/>
      </c>
      <c r="CA5" s="12">
        <f>ConstructionDebt!CA18</f>
        <v/>
      </c>
      <c r="CB5" s="12">
        <f>ConstructionDebt!CB18</f>
        <v/>
      </c>
      <c r="CC5" s="12">
        <f>ConstructionDebt!CC18</f>
        <v/>
      </c>
      <c r="CD5" s="12">
        <f>ConstructionDebt!CD18</f>
        <v/>
      </c>
      <c r="CE5" s="12">
        <f>ConstructionDebt!CE18</f>
        <v/>
      </c>
      <c r="CF5" s="12">
        <f>ConstructionDebt!CF18</f>
        <v/>
      </c>
      <c r="CG5" s="12">
        <f>ConstructionDebt!CG18</f>
        <v/>
      </c>
      <c r="CH5" s="12">
        <f>ConstructionDebt!CH18</f>
        <v/>
      </c>
    </row>
    <row r="6">
      <c r="A6" s="3" t="inlineStr">
        <is>
          <t>Condo net after construction paydown</t>
        </is>
      </c>
      <c r="B6" s="4" t="inlineStr">
        <is>
          <t>$</t>
        </is>
      </c>
      <c r="C6" s="12">
        <f>C4-C5</f>
        <v/>
      </c>
      <c r="D6" s="12">
        <f>D4-D5</f>
        <v/>
      </c>
      <c r="E6" s="12">
        <f>E4-E5</f>
        <v/>
      </c>
      <c r="F6" s="12">
        <f>F4-F5</f>
        <v/>
      </c>
      <c r="G6" s="12">
        <f>G4-G5</f>
        <v/>
      </c>
      <c r="H6" s="12">
        <f>H4-H5</f>
        <v/>
      </c>
      <c r="I6" s="12">
        <f>I4-I5</f>
        <v/>
      </c>
      <c r="J6" s="12">
        <f>J4-J5</f>
        <v/>
      </c>
      <c r="K6" s="12">
        <f>K4-K5</f>
        <v/>
      </c>
      <c r="L6" s="12">
        <f>L4-L5</f>
        <v/>
      </c>
      <c r="M6" s="12">
        <f>M4-M5</f>
        <v/>
      </c>
      <c r="N6" s="12">
        <f>N4-N5</f>
        <v/>
      </c>
      <c r="O6" s="12">
        <f>O4-O5</f>
        <v/>
      </c>
      <c r="P6" s="12">
        <f>P4-P5</f>
        <v/>
      </c>
      <c r="Q6" s="12">
        <f>Q4-Q5</f>
        <v/>
      </c>
      <c r="R6" s="12">
        <f>R4-R5</f>
        <v/>
      </c>
      <c r="S6" s="12">
        <f>S4-S5</f>
        <v/>
      </c>
      <c r="T6" s="12">
        <f>T4-T5</f>
        <v/>
      </c>
      <c r="U6" s="12">
        <f>U4-U5</f>
        <v/>
      </c>
      <c r="V6" s="12">
        <f>V4-V5</f>
        <v/>
      </c>
      <c r="W6" s="12">
        <f>W4-W5</f>
        <v/>
      </c>
      <c r="X6" s="12">
        <f>X4-X5</f>
        <v/>
      </c>
      <c r="Y6" s="12">
        <f>Y4-Y5</f>
        <v/>
      </c>
      <c r="Z6" s="12">
        <f>Z4-Z5</f>
        <v/>
      </c>
      <c r="AA6" s="12">
        <f>AA4-AA5</f>
        <v/>
      </c>
      <c r="AB6" s="12">
        <f>AB4-AB5</f>
        <v/>
      </c>
      <c r="AC6" s="12">
        <f>AC4-AC5</f>
        <v/>
      </c>
      <c r="AD6" s="12">
        <f>AD4-AD5</f>
        <v/>
      </c>
      <c r="AE6" s="12">
        <f>AE4-AE5</f>
        <v/>
      </c>
      <c r="AF6" s="12">
        <f>AF4-AF5</f>
        <v/>
      </c>
      <c r="AG6" s="12">
        <f>AG4-AG5</f>
        <v/>
      </c>
      <c r="AH6" s="12">
        <f>AH4-AH5</f>
        <v/>
      </c>
      <c r="AI6" s="12">
        <f>AI4-AI5</f>
        <v/>
      </c>
      <c r="AJ6" s="12">
        <f>AJ4-AJ5</f>
        <v/>
      </c>
      <c r="AK6" s="12">
        <f>AK4-AK5</f>
        <v/>
      </c>
      <c r="AL6" s="12">
        <f>AL4-AL5</f>
        <v/>
      </c>
      <c r="AM6" s="12">
        <f>AM4-AM5</f>
        <v/>
      </c>
      <c r="AN6" s="12">
        <f>AN4-AN5</f>
        <v/>
      </c>
      <c r="AO6" s="12">
        <f>AO4-AO5</f>
        <v/>
      </c>
      <c r="AP6" s="12">
        <f>AP4-AP5</f>
        <v/>
      </c>
      <c r="AQ6" s="12">
        <f>AQ4-AQ5</f>
        <v/>
      </c>
      <c r="AR6" s="12">
        <f>AR4-AR5</f>
        <v/>
      </c>
      <c r="AS6" s="12">
        <f>AS4-AS5</f>
        <v/>
      </c>
      <c r="AT6" s="12">
        <f>AT4-AT5</f>
        <v/>
      </c>
      <c r="AU6" s="12">
        <f>AU4-AU5</f>
        <v/>
      </c>
      <c r="AV6" s="12">
        <f>AV4-AV5</f>
        <v/>
      </c>
      <c r="AW6" s="12">
        <f>AW4-AW5</f>
        <v/>
      </c>
      <c r="AX6" s="12">
        <f>AX4-AX5</f>
        <v/>
      </c>
      <c r="AY6" s="12">
        <f>AY4-AY5</f>
        <v/>
      </c>
      <c r="AZ6" s="12">
        <f>AZ4-AZ5</f>
        <v/>
      </c>
      <c r="BA6" s="12">
        <f>BA4-BA5</f>
        <v/>
      </c>
      <c r="BB6" s="12">
        <f>BB4-BB5</f>
        <v/>
      </c>
      <c r="BC6" s="12">
        <f>BC4-BC5</f>
        <v/>
      </c>
      <c r="BD6" s="12">
        <f>BD4-BD5</f>
        <v/>
      </c>
      <c r="BE6" s="12">
        <f>BE4-BE5</f>
        <v/>
      </c>
      <c r="BF6" s="12">
        <f>BF4-BF5</f>
        <v/>
      </c>
      <c r="BG6" s="12">
        <f>BG4-BG5</f>
        <v/>
      </c>
      <c r="BH6" s="12">
        <f>BH4-BH5</f>
        <v/>
      </c>
      <c r="BI6" s="12">
        <f>BI4-BI5</f>
        <v/>
      </c>
      <c r="BJ6" s="12">
        <f>BJ4-BJ5</f>
        <v/>
      </c>
      <c r="BK6" s="12">
        <f>BK4-BK5</f>
        <v/>
      </c>
      <c r="BL6" s="12">
        <f>BL4-BL5</f>
        <v/>
      </c>
      <c r="BM6" s="12">
        <f>BM4-BM5</f>
        <v/>
      </c>
      <c r="BN6" s="12">
        <f>BN4-BN5</f>
        <v/>
      </c>
      <c r="BO6" s="12">
        <f>BO4-BO5</f>
        <v/>
      </c>
      <c r="BP6" s="12">
        <f>BP4-BP5</f>
        <v/>
      </c>
      <c r="BQ6" s="12">
        <f>BQ4-BQ5</f>
        <v/>
      </c>
      <c r="BR6" s="12">
        <f>BR4-BR5</f>
        <v/>
      </c>
      <c r="BS6" s="12">
        <f>BS4-BS5</f>
        <v/>
      </c>
      <c r="BT6" s="12">
        <f>BT4-BT5</f>
        <v/>
      </c>
      <c r="BU6" s="12">
        <f>BU4-BU5</f>
        <v/>
      </c>
      <c r="BV6" s="12">
        <f>BV4-BV5</f>
        <v/>
      </c>
      <c r="BW6" s="12">
        <f>BW4-BW5</f>
        <v/>
      </c>
      <c r="BX6" s="12">
        <f>BX4-BX5</f>
        <v/>
      </c>
      <c r="BY6" s="12">
        <f>BY4-BY5</f>
        <v/>
      </c>
      <c r="BZ6" s="12">
        <f>BZ4-BZ5</f>
        <v/>
      </c>
      <c r="CA6" s="12">
        <f>CA4-CA5</f>
        <v/>
      </c>
      <c r="CB6" s="12">
        <f>CB4-CB5</f>
        <v/>
      </c>
      <c r="CC6" s="12">
        <f>CC4-CC5</f>
        <v/>
      </c>
      <c r="CD6" s="12">
        <f>CD4-CD5</f>
        <v/>
      </c>
      <c r="CE6" s="12">
        <f>CE4-CE5</f>
        <v/>
      </c>
      <c r="CF6" s="12">
        <f>CF4-CF5</f>
        <v/>
      </c>
      <c r="CG6" s="12">
        <f>CG4-CG5</f>
        <v/>
      </c>
      <c r="CH6" s="12">
        <f>CH4-CH5</f>
        <v/>
      </c>
    </row>
    <row r="7">
      <c r="A7" s="3" t="inlineStr">
        <is>
          <t>Hotel NOI</t>
        </is>
      </c>
      <c r="B7" s="4" t="inlineStr">
        <is>
          <t>$</t>
        </is>
      </c>
      <c r="C7" s="12">
        <f>HotelProForma!C11</f>
        <v/>
      </c>
      <c r="D7" s="12">
        <f>HotelProForma!D11</f>
        <v/>
      </c>
      <c r="E7" s="12">
        <f>HotelProForma!E11</f>
        <v/>
      </c>
      <c r="F7" s="12">
        <f>HotelProForma!F11</f>
        <v/>
      </c>
      <c r="G7" s="12">
        <f>HotelProForma!G11</f>
        <v/>
      </c>
      <c r="H7" s="12">
        <f>HotelProForma!H11</f>
        <v/>
      </c>
      <c r="I7" s="12">
        <f>HotelProForma!I11</f>
        <v/>
      </c>
      <c r="J7" s="12">
        <f>HotelProForma!J11</f>
        <v/>
      </c>
      <c r="K7" s="12">
        <f>HotelProForma!K11</f>
        <v/>
      </c>
      <c r="L7" s="12">
        <f>HotelProForma!L11</f>
        <v/>
      </c>
      <c r="M7" s="12">
        <f>HotelProForma!M11</f>
        <v/>
      </c>
      <c r="N7" s="12">
        <f>HotelProForma!N11</f>
        <v/>
      </c>
      <c r="O7" s="12">
        <f>HotelProForma!O11</f>
        <v/>
      </c>
      <c r="P7" s="12">
        <f>HotelProForma!P11</f>
        <v/>
      </c>
      <c r="Q7" s="12">
        <f>HotelProForma!Q11</f>
        <v/>
      </c>
      <c r="R7" s="12">
        <f>HotelProForma!R11</f>
        <v/>
      </c>
      <c r="S7" s="12">
        <f>HotelProForma!S11</f>
        <v/>
      </c>
      <c r="T7" s="12">
        <f>HotelProForma!T11</f>
        <v/>
      </c>
      <c r="U7" s="12">
        <f>HotelProForma!U11</f>
        <v/>
      </c>
      <c r="V7" s="12">
        <f>HotelProForma!V11</f>
        <v/>
      </c>
      <c r="W7" s="12">
        <f>HotelProForma!W11</f>
        <v/>
      </c>
      <c r="X7" s="12">
        <f>HotelProForma!X11</f>
        <v/>
      </c>
      <c r="Y7" s="12">
        <f>HotelProForma!Y11</f>
        <v/>
      </c>
      <c r="Z7" s="12">
        <f>HotelProForma!Z11</f>
        <v/>
      </c>
      <c r="AA7" s="12">
        <f>HotelProForma!AA11</f>
        <v/>
      </c>
      <c r="AB7" s="12">
        <f>HotelProForma!AB11</f>
        <v/>
      </c>
      <c r="AC7" s="12">
        <f>HotelProForma!AC11</f>
        <v/>
      </c>
      <c r="AD7" s="12">
        <f>HotelProForma!AD11</f>
        <v/>
      </c>
      <c r="AE7" s="12">
        <f>HotelProForma!AE11</f>
        <v/>
      </c>
      <c r="AF7" s="12">
        <f>HotelProForma!AF11</f>
        <v/>
      </c>
      <c r="AG7" s="12">
        <f>HotelProForma!AG11</f>
        <v/>
      </c>
      <c r="AH7" s="12">
        <f>HotelProForma!AH11</f>
        <v/>
      </c>
      <c r="AI7" s="12">
        <f>HotelProForma!AI11</f>
        <v/>
      </c>
      <c r="AJ7" s="12">
        <f>HotelProForma!AJ11</f>
        <v/>
      </c>
      <c r="AK7" s="12">
        <f>HotelProForma!AK11</f>
        <v/>
      </c>
      <c r="AL7" s="12">
        <f>HotelProForma!AL11</f>
        <v/>
      </c>
      <c r="AM7" s="12">
        <f>HotelProForma!AM11</f>
        <v/>
      </c>
      <c r="AN7" s="12">
        <f>HotelProForma!AN11</f>
        <v/>
      </c>
      <c r="AO7" s="12">
        <f>HotelProForma!AO11</f>
        <v/>
      </c>
      <c r="AP7" s="12">
        <f>HotelProForma!AP11</f>
        <v/>
      </c>
      <c r="AQ7" s="12">
        <f>HotelProForma!AQ11</f>
        <v/>
      </c>
      <c r="AR7" s="12">
        <f>HotelProForma!AR11</f>
        <v/>
      </c>
      <c r="AS7" s="12">
        <f>HotelProForma!AS11</f>
        <v/>
      </c>
      <c r="AT7" s="12">
        <f>HotelProForma!AT11</f>
        <v/>
      </c>
      <c r="AU7" s="12">
        <f>HotelProForma!AU11</f>
        <v/>
      </c>
      <c r="AV7" s="12">
        <f>HotelProForma!AV11</f>
        <v/>
      </c>
      <c r="AW7" s="12">
        <f>HotelProForma!AW11</f>
        <v/>
      </c>
      <c r="AX7" s="12">
        <f>HotelProForma!AX11</f>
        <v/>
      </c>
      <c r="AY7" s="12">
        <f>HotelProForma!AY11</f>
        <v/>
      </c>
      <c r="AZ7" s="12">
        <f>HotelProForma!AZ11</f>
        <v/>
      </c>
      <c r="BA7" s="12">
        <f>HotelProForma!BA11</f>
        <v/>
      </c>
      <c r="BB7" s="12">
        <f>HotelProForma!BB11</f>
        <v/>
      </c>
      <c r="BC7" s="12">
        <f>HotelProForma!BC11</f>
        <v/>
      </c>
      <c r="BD7" s="12">
        <f>HotelProForma!BD11</f>
        <v/>
      </c>
      <c r="BE7" s="12">
        <f>HotelProForma!BE11</f>
        <v/>
      </c>
      <c r="BF7" s="12">
        <f>HotelProForma!BF11</f>
        <v/>
      </c>
      <c r="BG7" s="12">
        <f>HotelProForma!BG11</f>
        <v/>
      </c>
      <c r="BH7" s="12">
        <f>HotelProForma!BH11</f>
        <v/>
      </c>
      <c r="BI7" s="12">
        <f>HotelProForma!BI11</f>
        <v/>
      </c>
      <c r="BJ7" s="12">
        <f>HotelProForma!BJ11</f>
        <v/>
      </c>
      <c r="BK7" s="12">
        <f>HotelProForma!BK11</f>
        <v/>
      </c>
      <c r="BL7" s="12">
        <f>HotelProForma!BL11</f>
        <v/>
      </c>
      <c r="BM7" s="12">
        <f>HotelProForma!BM11</f>
        <v/>
      </c>
      <c r="BN7" s="12">
        <f>HotelProForma!BN11</f>
        <v/>
      </c>
      <c r="BO7" s="12">
        <f>HotelProForma!BO11</f>
        <v/>
      </c>
      <c r="BP7" s="12">
        <f>HotelProForma!BP11</f>
        <v/>
      </c>
      <c r="BQ7" s="12">
        <f>HotelProForma!BQ11</f>
        <v/>
      </c>
      <c r="BR7" s="12">
        <f>HotelProForma!BR11</f>
        <v/>
      </c>
      <c r="BS7" s="12">
        <f>HotelProForma!BS11</f>
        <v/>
      </c>
      <c r="BT7" s="12">
        <f>HotelProForma!BT11</f>
        <v/>
      </c>
      <c r="BU7" s="12">
        <f>HotelProForma!BU11</f>
        <v/>
      </c>
      <c r="BV7" s="12">
        <f>HotelProForma!BV11</f>
        <v/>
      </c>
      <c r="BW7" s="12">
        <f>HotelProForma!BW11</f>
        <v/>
      </c>
      <c r="BX7" s="12">
        <f>HotelProForma!BX11</f>
        <v/>
      </c>
      <c r="BY7" s="12">
        <f>HotelProForma!BY11</f>
        <v/>
      </c>
      <c r="BZ7" s="12">
        <f>HotelProForma!BZ11</f>
        <v/>
      </c>
      <c r="CA7" s="12">
        <f>HotelProForma!CA11</f>
        <v/>
      </c>
      <c r="CB7" s="12">
        <f>HotelProForma!CB11</f>
        <v/>
      </c>
      <c r="CC7" s="12">
        <f>HotelProForma!CC11</f>
        <v/>
      </c>
      <c r="CD7" s="12">
        <f>HotelProForma!CD11</f>
        <v/>
      </c>
      <c r="CE7" s="12">
        <f>HotelProForma!CE11</f>
        <v/>
      </c>
      <c r="CF7" s="12">
        <f>HotelProForma!CF11</f>
        <v/>
      </c>
      <c r="CG7" s="12">
        <f>HotelProForma!CG11</f>
        <v/>
      </c>
      <c r="CH7" s="12">
        <f>HotelProForma!CH11</f>
        <v/>
      </c>
    </row>
    <row r="8">
      <c r="A8" s="3" t="inlineStr">
        <is>
          <t>Retail NOI</t>
        </is>
      </c>
      <c r="B8" s="4" t="inlineStr">
        <is>
          <t>$</t>
        </is>
      </c>
      <c r="C8" s="12">
        <f>RetailProForma!C12</f>
        <v/>
      </c>
      <c r="D8" s="12">
        <f>RetailProForma!D12</f>
        <v/>
      </c>
      <c r="E8" s="12">
        <f>RetailProForma!E12</f>
        <v/>
      </c>
      <c r="F8" s="12">
        <f>RetailProForma!F12</f>
        <v/>
      </c>
      <c r="G8" s="12">
        <f>RetailProForma!G12</f>
        <v/>
      </c>
      <c r="H8" s="12">
        <f>RetailProForma!H12</f>
        <v/>
      </c>
      <c r="I8" s="12">
        <f>RetailProForma!I12</f>
        <v/>
      </c>
      <c r="J8" s="12">
        <f>RetailProForma!J12</f>
        <v/>
      </c>
      <c r="K8" s="12">
        <f>RetailProForma!K12</f>
        <v/>
      </c>
      <c r="L8" s="12">
        <f>RetailProForma!L12</f>
        <v/>
      </c>
      <c r="M8" s="12">
        <f>RetailProForma!M12</f>
        <v/>
      </c>
      <c r="N8" s="12">
        <f>RetailProForma!N12</f>
        <v/>
      </c>
      <c r="O8" s="12">
        <f>RetailProForma!O12</f>
        <v/>
      </c>
      <c r="P8" s="12">
        <f>RetailProForma!P12</f>
        <v/>
      </c>
      <c r="Q8" s="12">
        <f>RetailProForma!Q12</f>
        <v/>
      </c>
      <c r="R8" s="12">
        <f>RetailProForma!R12</f>
        <v/>
      </c>
      <c r="S8" s="12">
        <f>RetailProForma!S12</f>
        <v/>
      </c>
      <c r="T8" s="12">
        <f>RetailProForma!T12</f>
        <v/>
      </c>
      <c r="U8" s="12">
        <f>RetailProForma!U12</f>
        <v/>
      </c>
      <c r="V8" s="12">
        <f>RetailProForma!V12</f>
        <v/>
      </c>
      <c r="W8" s="12">
        <f>RetailProForma!W12</f>
        <v/>
      </c>
      <c r="X8" s="12">
        <f>RetailProForma!X12</f>
        <v/>
      </c>
      <c r="Y8" s="12">
        <f>RetailProForma!Y12</f>
        <v/>
      </c>
      <c r="Z8" s="12">
        <f>RetailProForma!Z12</f>
        <v/>
      </c>
      <c r="AA8" s="12">
        <f>RetailProForma!AA12</f>
        <v/>
      </c>
      <c r="AB8" s="12">
        <f>RetailProForma!AB12</f>
        <v/>
      </c>
      <c r="AC8" s="12">
        <f>RetailProForma!AC12</f>
        <v/>
      </c>
      <c r="AD8" s="12">
        <f>RetailProForma!AD12</f>
        <v/>
      </c>
      <c r="AE8" s="12">
        <f>RetailProForma!AE12</f>
        <v/>
      </c>
      <c r="AF8" s="12">
        <f>RetailProForma!AF12</f>
        <v/>
      </c>
      <c r="AG8" s="12">
        <f>RetailProForma!AG12</f>
        <v/>
      </c>
      <c r="AH8" s="12">
        <f>RetailProForma!AH12</f>
        <v/>
      </c>
      <c r="AI8" s="12">
        <f>RetailProForma!AI12</f>
        <v/>
      </c>
      <c r="AJ8" s="12">
        <f>RetailProForma!AJ12</f>
        <v/>
      </c>
      <c r="AK8" s="12">
        <f>RetailProForma!AK12</f>
        <v/>
      </c>
      <c r="AL8" s="12">
        <f>RetailProForma!AL12</f>
        <v/>
      </c>
      <c r="AM8" s="12">
        <f>RetailProForma!AM12</f>
        <v/>
      </c>
      <c r="AN8" s="12">
        <f>RetailProForma!AN12</f>
        <v/>
      </c>
      <c r="AO8" s="12">
        <f>RetailProForma!AO12</f>
        <v/>
      </c>
      <c r="AP8" s="12">
        <f>RetailProForma!AP12</f>
        <v/>
      </c>
      <c r="AQ8" s="12">
        <f>RetailProForma!AQ12</f>
        <v/>
      </c>
      <c r="AR8" s="12">
        <f>RetailProForma!AR12</f>
        <v/>
      </c>
      <c r="AS8" s="12">
        <f>RetailProForma!AS12</f>
        <v/>
      </c>
      <c r="AT8" s="12">
        <f>RetailProForma!AT12</f>
        <v/>
      </c>
      <c r="AU8" s="12">
        <f>RetailProForma!AU12</f>
        <v/>
      </c>
      <c r="AV8" s="12">
        <f>RetailProForma!AV12</f>
        <v/>
      </c>
      <c r="AW8" s="12">
        <f>RetailProForma!AW12</f>
        <v/>
      </c>
      <c r="AX8" s="12">
        <f>RetailProForma!AX12</f>
        <v/>
      </c>
      <c r="AY8" s="12">
        <f>RetailProForma!AY12</f>
        <v/>
      </c>
      <c r="AZ8" s="12">
        <f>RetailProForma!AZ12</f>
        <v/>
      </c>
      <c r="BA8" s="12">
        <f>RetailProForma!BA12</f>
        <v/>
      </c>
      <c r="BB8" s="12">
        <f>RetailProForma!BB12</f>
        <v/>
      </c>
      <c r="BC8" s="12">
        <f>RetailProForma!BC12</f>
        <v/>
      </c>
      <c r="BD8" s="12">
        <f>RetailProForma!BD12</f>
        <v/>
      </c>
      <c r="BE8" s="12">
        <f>RetailProForma!BE12</f>
        <v/>
      </c>
      <c r="BF8" s="12">
        <f>RetailProForma!BF12</f>
        <v/>
      </c>
      <c r="BG8" s="12">
        <f>RetailProForma!BG12</f>
        <v/>
      </c>
      <c r="BH8" s="12">
        <f>RetailProForma!BH12</f>
        <v/>
      </c>
      <c r="BI8" s="12">
        <f>RetailProForma!BI12</f>
        <v/>
      </c>
      <c r="BJ8" s="12">
        <f>RetailProForma!BJ12</f>
        <v/>
      </c>
      <c r="BK8" s="12">
        <f>RetailProForma!BK12</f>
        <v/>
      </c>
      <c r="BL8" s="12">
        <f>RetailProForma!BL12</f>
        <v/>
      </c>
      <c r="BM8" s="12">
        <f>RetailProForma!BM12</f>
        <v/>
      </c>
      <c r="BN8" s="12">
        <f>RetailProForma!BN12</f>
        <v/>
      </c>
      <c r="BO8" s="12">
        <f>RetailProForma!BO12</f>
        <v/>
      </c>
      <c r="BP8" s="12">
        <f>RetailProForma!BP12</f>
        <v/>
      </c>
      <c r="BQ8" s="12">
        <f>RetailProForma!BQ12</f>
        <v/>
      </c>
      <c r="BR8" s="12">
        <f>RetailProForma!BR12</f>
        <v/>
      </c>
      <c r="BS8" s="12">
        <f>RetailProForma!BS12</f>
        <v/>
      </c>
      <c r="BT8" s="12">
        <f>RetailProForma!BT12</f>
        <v/>
      </c>
      <c r="BU8" s="12">
        <f>RetailProForma!BU12</f>
        <v/>
      </c>
      <c r="BV8" s="12">
        <f>RetailProForma!BV12</f>
        <v/>
      </c>
      <c r="BW8" s="12">
        <f>RetailProForma!BW12</f>
        <v/>
      </c>
      <c r="BX8" s="12">
        <f>RetailProForma!BX12</f>
        <v/>
      </c>
      <c r="BY8" s="12">
        <f>RetailProForma!BY12</f>
        <v/>
      </c>
      <c r="BZ8" s="12">
        <f>RetailProForma!BZ12</f>
        <v/>
      </c>
      <c r="CA8" s="12">
        <f>RetailProForma!CA12</f>
        <v/>
      </c>
      <c r="CB8" s="12">
        <f>RetailProForma!CB12</f>
        <v/>
      </c>
      <c r="CC8" s="12">
        <f>RetailProForma!CC12</f>
        <v/>
      </c>
      <c r="CD8" s="12">
        <f>RetailProForma!CD12</f>
        <v/>
      </c>
      <c r="CE8" s="12">
        <f>RetailProForma!CE12</f>
        <v/>
      </c>
      <c r="CF8" s="12">
        <f>RetailProForma!CF12</f>
        <v/>
      </c>
      <c r="CG8" s="12">
        <f>RetailProForma!CG12</f>
        <v/>
      </c>
      <c r="CH8" s="12">
        <f>RetailProForma!CH12</f>
        <v/>
      </c>
    </row>
    <row r="9">
      <c r="A9" s="3" t="inlineStr">
        <is>
          <t>Permanent debt service</t>
        </is>
      </c>
      <c r="B9" s="4" t="inlineStr">
        <is>
          <t>$</t>
        </is>
      </c>
      <c r="C9" s="12">
        <f>PermanentDebt!C10</f>
        <v/>
      </c>
      <c r="D9" s="12">
        <f>PermanentDebt!D10</f>
        <v/>
      </c>
      <c r="E9" s="12">
        <f>PermanentDebt!E10</f>
        <v/>
      </c>
      <c r="F9" s="12">
        <f>PermanentDebt!F10</f>
        <v/>
      </c>
      <c r="G9" s="12">
        <f>PermanentDebt!G10</f>
        <v/>
      </c>
      <c r="H9" s="12">
        <f>PermanentDebt!H10</f>
        <v/>
      </c>
      <c r="I9" s="12">
        <f>PermanentDebt!I10</f>
        <v/>
      </c>
      <c r="J9" s="12">
        <f>PermanentDebt!J10</f>
        <v/>
      </c>
      <c r="K9" s="12">
        <f>PermanentDebt!K10</f>
        <v/>
      </c>
      <c r="L9" s="12">
        <f>PermanentDebt!L10</f>
        <v/>
      </c>
      <c r="M9" s="12">
        <f>PermanentDebt!M10</f>
        <v/>
      </c>
      <c r="N9" s="12">
        <f>PermanentDebt!N10</f>
        <v/>
      </c>
      <c r="O9" s="12">
        <f>PermanentDebt!O10</f>
        <v/>
      </c>
      <c r="P9" s="12">
        <f>PermanentDebt!P10</f>
        <v/>
      </c>
      <c r="Q9" s="12">
        <f>PermanentDebt!Q10</f>
        <v/>
      </c>
      <c r="R9" s="12">
        <f>PermanentDebt!R10</f>
        <v/>
      </c>
      <c r="S9" s="12">
        <f>PermanentDebt!S10</f>
        <v/>
      </c>
      <c r="T9" s="12">
        <f>PermanentDebt!T10</f>
        <v/>
      </c>
      <c r="U9" s="12">
        <f>PermanentDebt!U10</f>
        <v/>
      </c>
      <c r="V9" s="12">
        <f>PermanentDebt!V10</f>
        <v/>
      </c>
      <c r="W9" s="12">
        <f>PermanentDebt!W10</f>
        <v/>
      </c>
      <c r="X9" s="12">
        <f>PermanentDebt!X10</f>
        <v/>
      </c>
      <c r="Y9" s="12">
        <f>PermanentDebt!Y10</f>
        <v/>
      </c>
      <c r="Z9" s="12">
        <f>PermanentDebt!Z10</f>
        <v/>
      </c>
      <c r="AA9" s="12">
        <f>PermanentDebt!AA10</f>
        <v/>
      </c>
      <c r="AB9" s="12">
        <f>PermanentDebt!AB10</f>
        <v/>
      </c>
      <c r="AC9" s="12">
        <f>PermanentDebt!AC10</f>
        <v/>
      </c>
      <c r="AD9" s="12">
        <f>PermanentDebt!AD10</f>
        <v/>
      </c>
      <c r="AE9" s="12">
        <f>PermanentDebt!AE10</f>
        <v/>
      </c>
      <c r="AF9" s="12">
        <f>PermanentDebt!AF10</f>
        <v/>
      </c>
      <c r="AG9" s="12">
        <f>PermanentDebt!AG10</f>
        <v/>
      </c>
      <c r="AH9" s="12">
        <f>PermanentDebt!AH10</f>
        <v/>
      </c>
      <c r="AI9" s="12">
        <f>PermanentDebt!AI10</f>
        <v/>
      </c>
      <c r="AJ9" s="12">
        <f>PermanentDebt!AJ10</f>
        <v/>
      </c>
      <c r="AK9" s="12">
        <f>PermanentDebt!AK10</f>
        <v/>
      </c>
      <c r="AL9" s="12">
        <f>PermanentDebt!AL10</f>
        <v/>
      </c>
      <c r="AM9" s="12">
        <f>PermanentDebt!AM10</f>
        <v/>
      </c>
      <c r="AN9" s="12">
        <f>PermanentDebt!AN10</f>
        <v/>
      </c>
      <c r="AO9" s="12">
        <f>PermanentDebt!AO10</f>
        <v/>
      </c>
      <c r="AP9" s="12">
        <f>PermanentDebt!AP10</f>
        <v/>
      </c>
      <c r="AQ9" s="12">
        <f>PermanentDebt!AQ10</f>
        <v/>
      </c>
      <c r="AR9" s="12">
        <f>PermanentDebt!AR10</f>
        <v/>
      </c>
      <c r="AS9" s="12">
        <f>PermanentDebt!AS10</f>
        <v/>
      </c>
      <c r="AT9" s="12">
        <f>PermanentDebt!AT10</f>
        <v/>
      </c>
      <c r="AU9" s="12">
        <f>PermanentDebt!AU10</f>
        <v/>
      </c>
      <c r="AV9" s="12">
        <f>PermanentDebt!AV10</f>
        <v/>
      </c>
      <c r="AW9" s="12">
        <f>PermanentDebt!AW10</f>
        <v/>
      </c>
      <c r="AX9" s="12">
        <f>PermanentDebt!AX10</f>
        <v/>
      </c>
      <c r="AY9" s="12">
        <f>PermanentDebt!AY10</f>
        <v/>
      </c>
      <c r="AZ9" s="12">
        <f>PermanentDebt!AZ10</f>
        <v/>
      </c>
      <c r="BA9" s="12">
        <f>PermanentDebt!BA10</f>
        <v/>
      </c>
      <c r="BB9" s="12">
        <f>PermanentDebt!BB10</f>
        <v/>
      </c>
      <c r="BC9" s="12">
        <f>PermanentDebt!BC10</f>
        <v/>
      </c>
      <c r="BD9" s="12">
        <f>PermanentDebt!BD10</f>
        <v/>
      </c>
      <c r="BE9" s="12">
        <f>PermanentDebt!BE10</f>
        <v/>
      </c>
      <c r="BF9" s="12">
        <f>PermanentDebt!BF10</f>
        <v/>
      </c>
      <c r="BG9" s="12">
        <f>PermanentDebt!BG10</f>
        <v/>
      </c>
      <c r="BH9" s="12">
        <f>PermanentDebt!BH10</f>
        <v/>
      </c>
      <c r="BI9" s="12">
        <f>PermanentDebt!BI10</f>
        <v/>
      </c>
      <c r="BJ9" s="12">
        <f>PermanentDebt!BJ10</f>
        <v/>
      </c>
      <c r="BK9" s="12">
        <f>PermanentDebt!BK10</f>
        <v/>
      </c>
      <c r="BL9" s="12">
        <f>PermanentDebt!BL10</f>
        <v/>
      </c>
      <c r="BM9" s="12">
        <f>PermanentDebt!BM10</f>
        <v/>
      </c>
      <c r="BN9" s="12">
        <f>PermanentDebt!BN10</f>
        <v/>
      </c>
      <c r="BO9" s="12">
        <f>PermanentDebt!BO10</f>
        <v/>
      </c>
      <c r="BP9" s="12">
        <f>PermanentDebt!BP10</f>
        <v/>
      </c>
      <c r="BQ9" s="12">
        <f>PermanentDebt!BQ10</f>
        <v/>
      </c>
      <c r="BR9" s="12">
        <f>PermanentDebt!BR10</f>
        <v/>
      </c>
      <c r="BS9" s="12">
        <f>PermanentDebt!BS10</f>
        <v/>
      </c>
      <c r="BT9" s="12">
        <f>PermanentDebt!BT10</f>
        <v/>
      </c>
      <c r="BU9" s="12">
        <f>PermanentDebt!BU10</f>
        <v/>
      </c>
      <c r="BV9" s="12">
        <f>PermanentDebt!BV10</f>
        <v/>
      </c>
      <c r="BW9" s="12">
        <f>PermanentDebt!BW10</f>
        <v/>
      </c>
      <c r="BX9" s="12">
        <f>PermanentDebt!BX10</f>
        <v/>
      </c>
      <c r="BY9" s="12">
        <f>PermanentDebt!BY10</f>
        <v/>
      </c>
      <c r="BZ9" s="12">
        <f>PermanentDebt!BZ10</f>
        <v/>
      </c>
      <c r="CA9" s="12">
        <f>PermanentDebt!CA10</f>
        <v/>
      </c>
      <c r="CB9" s="12">
        <f>PermanentDebt!CB10</f>
        <v/>
      </c>
      <c r="CC9" s="12">
        <f>PermanentDebt!CC10</f>
        <v/>
      </c>
      <c r="CD9" s="12">
        <f>PermanentDebt!CD10</f>
        <v/>
      </c>
      <c r="CE9" s="12">
        <f>PermanentDebt!CE10</f>
        <v/>
      </c>
      <c r="CF9" s="12">
        <f>PermanentDebt!CF10</f>
        <v/>
      </c>
      <c r="CG9" s="12">
        <f>PermanentDebt!CG10</f>
        <v/>
      </c>
      <c r="CH9" s="12">
        <f>PermanentDebt!CH10</f>
        <v/>
      </c>
    </row>
    <row r="10">
      <c r="A10" s="3" t="inlineStr">
        <is>
          <t>Refinance net proceeds</t>
        </is>
      </c>
      <c r="B10" s="4" t="inlineStr">
        <is>
          <t>$</t>
        </is>
      </c>
      <c r="C10" s="12">
        <f>PermanentDebt!C13</f>
        <v/>
      </c>
      <c r="D10" s="12">
        <f>PermanentDebt!D13</f>
        <v/>
      </c>
      <c r="E10" s="12">
        <f>PermanentDebt!E13</f>
        <v/>
      </c>
      <c r="F10" s="12">
        <f>PermanentDebt!F13</f>
        <v/>
      </c>
      <c r="G10" s="12">
        <f>PermanentDebt!G13</f>
        <v/>
      </c>
      <c r="H10" s="12">
        <f>PermanentDebt!H13</f>
        <v/>
      </c>
      <c r="I10" s="12">
        <f>PermanentDebt!I13</f>
        <v/>
      </c>
      <c r="J10" s="12">
        <f>PermanentDebt!J13</f>
        <v/>
      </c>
      <c r="K10" s="12">
        <f>PermanentDebt!K13</f>
        <v/>
      </c>
      <c r="L10" s="12">
        <f>PermanentDebt!L13</f>
        <v/>
      </c>
      <c r="M10" s="12">
        <f>PermanentDebt!M13</f>
        <v/>
      </c>
      <c r="N10" s="12">
        <f>PermanentDebt!N13</f>
        <v/>
      </c>
      <c r="O10" s="12">
        <f>PermanentDebt!O13</f>
        <v/>
      </c>
      <c r="P10" s="12">
        <f>PermanentDebt!P13</f>
        <v/>
      </c>
      <c r="Q10" s="12">
        <f>PermanentDebt!Q13</f>
        <v/>
      </c>
      <c r="R10" s="12">
        <f>PermanentDebt!R13</f>
        <v/>
      </c>
      <c r="S10" s="12">
        <f>PermanentDebt!S13</f>
        <v/>
      </c>
      <c r="T10" s="12">
        <f>PermanentDebt!T13</f>
        <v/>
      </c>
      <c r="U10" s="12">
        <f>PermanentDebt!U13</f>
        <v/>
      </c>
      <c r="V10" s="12">
        <f>PermanentDebt!V13</f>
        <v/>
      </c>
      <c r="W10" s="12">
        <f>PermanentDebt!W13</f>
        <v/>
      </c>
      <c r="X10" s="12">
        <f>PermanentDebt!X13</f>
        <v/>
      </c>
      <c r="Y10" s="12">
        <f>PermanentDebt!Y13</f>
        <v/>
      </c>
      <c r="Z10" s="12">
        <f>PermanentDebt!Z13</f>
        <v/>
      </c>
      <c r="AA10" s="12">
        <f>PermanentDebt!AA13</f>
        <v/>
      </c>
      <c r="AB10" s="12">
        <f>PermanentDebt!AB13</f>
        <v/>
      </c>
      <c r="AC10" s="12">
        <f>PermanentDebt!AC13</f>
        <v/>
      </c>
      <c r="AD10" s="12">
        <f>PermanentDebt!AD13</f>
        <v/>
      </c>
      <c r="AE10" s="12">
        <f>PermanentDebt!AE13</f>
        <v/>
      </c>
      <c r="AF10" s="12">
        <f>PermanentDebt!AF13</f>
        <v/>
      </c>
      <c r="AG10" s="12">
        <f>PermanentDebt!AG13</f>
        <v/>
      </c>
      <c r="AH10" s="12">
        <f>PermanentDebt!AH13</f>
        <v/>
      </c>
      <c r="AI10" s="12">
        <f>PermanentDebt!AI13</f>
        <v/>
      </c>
      <c r="AJ10" s="12">
        <f>PermanentDebt!AJ13</f>
        <v/>
      </c>
      <c r="AK10" s="12">
        <f>PermanentDebt!AK13</f>
        <v/>
      </c>
      <c r="AL10" s="12">
        <f>PermanentDebt!AL13</f>
        <v/>
      </c>
      <c r="AM10" s="12">
        <f>PermanentDebt!AM13</f>
        <v/>
      </c>
      <c r="AN10" s="12">
        <f>PermanentDebt!AN13</f>
        <v/>
      </c>
      <c r="AO10" s="12">
        <f>PermanentDebt!AO13</f>
        <v/>
      </c>
      <c r="AP10" s="12">
        <f>PermanentDebt!AP13</f>
        <v/>
      </c>
      <c r="AQ10" s="12">
        <f>PermanentDebt!AQ13</f>
        <v/>
      </c>
      <c r="AR10" s="12">
        <f>PermanentDebt!AR13</f>
        <v/>
      </c>
      <c r="AS10" s="12">
        <f>PermanentDebt!AS13</f>
        <v/>
      </c>
      <c r="AT10" s="12">
        <f>PermanentDebt!AT13</f>
        <v/>
      </c>
      <c r="AU10" s="12">
        <f>PermanentDebt!AU13</f>
        <v/>
      </c>
      <c r="AV10" s="12">
        <f>PermanentDebt!AV13</f>
        <v/>
      </c>
      <c r="AW10" s="12">
        <f>PermanentDebt!AW13</f>
        <v/>
      </c>
      <c r="AX10" s="12">
        <f>PermanentDebt!AX13</f>
        <v/>
      </c>
      <c r="AY10" s="12">
        <f>PermanentDebt!AY13</f>
        <v/>
      </c>
      <c r="AZ10" s="12">
        <f>PermanentDebt!AZ13</f>
        <v/>
      </c>
      <c r="BA10" s="12">
        <f>PermanentDebt!BA13</f>
        <v/>
      </c>
      <c r="BB10" s="12">
        <f>PermanentDebt!BB13</f>
        <v/>
      </c>
      <c r="BC10" s="12">
        <f>PermanentDebt!BC13</f>
        <v/>
      </c>
      <c r="BD10" s="12">
        <f>PermanentDebt!BD13</f>
        <v/>
      </c>
      <c r="BE10" s="12">
        <f>PermanentDebt!BE13</f>
        <v/>
      </c>
      <c r="BF10" s="12">
        <f>PermanentDebt!BF13</f>
        <v/>
      </c>
      <c r="BG10" s="12">
        <f>PermanentDebt!BG13</f>
        <v/>
      </c>
      <c r="BH10" s="12">
        <f>PermanentDebt!BH13</f>
        <v/>
      </c>
      <c r="BI10" s="12">
        <f>PermanentDebt!BI13</f>
        <v/>
      </c>
      <c r="BJ10" s="12">
        <f>PermanentDebt!BJ13</f>
        <v/>
      </c>
      <c r="BK10" s="12">
        <f>PermanentDebt!BK13</f>
        <v/>
      </c>
      <c r="BL10" s="12">
        <f>PermanentDebt!BL13</f>
        <v/>
      </c>
      <c r="BM10" s="12">
        <f>PermanentDebt!BM13</f>
        <v/>
      </c>
      <c r="BN10" s="12">
        <f>PermanentDebt!BN13</f>
        <v/>
      </c>
      <c r="BO10" s="12">
        <f>PermanentDebt!BO13</f>
        <v/>
      </c>
      <c r="BP10" s="12">
        <f>PermanentDebt!BP13</f>
        <v/>
      </c>
      <c r="BQ10" s="12">
        <f>PermanentDebt!BQ13</f>
        <v/>
      </c>
      <c r="BR10" s="12">
        <f>PermanentDebt!BR13</f>
        <v/>
      </c>
      <c r="BS10" s="12">
        <f>PermanentDebt!BS13</f>
        <v/>
      </c>
      <c r="BT10" s="12">
        <f>PermanentDebt!BT13</f>
        <v/>
      </c>
      <c r="BU10" s="12">
        <f>PermanentDebt!BU13</f>
        <v/>
      </c>
      <c r="BV10" s="12">
        <f>PermanentDebt!BV13</f>
        <v/>
      </c>
      <c r="BW10" s="12">
        <f>PermanentDebt!BW13</f>
        <v/>
      </c>
      <c r="BX10" s="12">
        <f>PermanentDebt!BX13</f>
        <v/>
      </c>
      <c r="BY10" s="12">
        <f>PermanentDebt!BY13</f>
        <v/>
      </c>
      <c r="BZ10" s="12">
        <f>PermanentDebt!BZ13</f>
        <v/>
      </c>
      <c r="CA10" s="12">
        <f>PermanentDebt!CA13</f>
        <v/>
      </c>
      <c r="CB10" s="12">
        <f>PermanentDebt!CB13</f>
        <v/>
      </c>
      <c r="CC10" s="12">
        <f>PermanentDebt!CC13</f>
        <v/>
      </c>
      <c r="CD10" s="12">
        <f>PermanentDebt!CD13</f>
        <v/>
      </c>
      <c r="CE10" s="12">
        <f>PermanentDebt!CE13</f>
        <v/>
      </c>
      <c r="CF10" s="12">
        <f>PermanentDebt!CF13</f>
        <v/>
      </c>
      <c r="CG10" s="12">
        <f>PermanentDebt!CG13</f>
        <v/>
      </c>
      <c r="CH10" s="12">
        <f>PermanentDebt!CH13</f>
        <v/>
      </c>
    </row>
    <row r="11">
      <c r="A11" s="3" t="inlineStr">
        <is>
          <t>Terminal net proceeds</t>
        </is>
      </c>
      <c r="B11" s="4" t="inlineStr">
        <is>
          <t>$</t>
        </is>
      </c>
      <c r="C11" s="12">
        <f>IF(C2=EXIT_M,(HotelValuation!$C$7+RetailValuation!$C$7)*(1-SELL_COST_PCT)-PermanentDebt!C9,0)</f>
        <v/>
      </c>
      <c r="D11" s="12">
        <f>IF(D2=EXIT_M,(HotelValuation!$C$7+RetailValuation!$C$7)*(1-SELL_COST_PCT)-PermanentDebt!D9,0)</f>
        <v/>
      </c>
      <c r="E11" s="12">
        <f>IF(E2=EXIT_M,(HotelValuation!$C$7+RetailValuation!$C$7)*(1-SELL_COST_PCT)-PermanentDebt!E9,0)</f>
        <v/>
      </c>
      <c r="F11" s="12">
        <f>IF(F2=EXIT_M,(HotelValuation!$C$7+RetailValuation!$C$7)*(1-SELL_COST_PCT)-PermanentDebt!F9,0)</f>
        <v/>
      </c>
      <c r="G11" s="12">
        <f>IF(G2=EXIT_M,(HotelValuation!$C$7+RetailValuation!$C$7)*(1-SELL_COST_PCT)-PermanentDebt!G9,0)</f>
        <v/>
      </c>
      <c r="H11" s="12">
        <f>IF(H2=EXIT_M,(HotelValuation!$C$7+RetailValuation!$C$7)*(1-SELL_COST_PCT)-PermanentDebt!H9,0)</f>
        <v/>
      </c>
      <c r="I11" s="12">
        <f>IF(I2=EXIT_M,(HotelValuation!$C$7+RetailValuation!$C$7)*(1-SELL_COST_PCT)-PermanentDebt!I9,0)</f>
        <v/>
      </c>
      <c r="J11" s="12">
        <f>IF(J2=EXIT_M,(HotelValuation!$C$7+RetailValuation!$C$7)*(1-SELL_COST_PCT)-PermanentDebt!J9,0)</f>
        <v/>
      </c>
      <c r="K11" s="12">
        <f>IF(K2=EXIT_M,(HotelValuation!$C$7+RetailValuation!$C$7)*(1-SELL_COST_PCT)-PermanentDebt!K9,0)</f>
        <v/>
      </c>
      <c r="L11" s="12">
        <f>IF(L2=EXIT_M,(HotelValuation!$C$7+RetailValuation!$C$7)*(1-SELL_COST_PCT)-PermanentDebt!L9,0)</f>
        <v/>
      </c>
      <c r="M11" s="12">
        <f>IF(M2=EXIT_M,(HotelValuation!$C$7+RetailValuation!$C$7)*(1-SELL_COST_PCT)-PermanentDebt!M9,0)</f>
        <v/>
      </c>
      <c r="N11" s="12">
        <f>IF(N2=EXIT_M,(HotelValuation!$C$7+RetailValuation!$C$7)*(1-SELL_COST_PCT)-PermanentDebt!N9,0)</f>
        <v/>
      </c>
      <c r="O11" s="12">
        <f>IF(O2=EXIT_M,(HotelValuation!$C$7+RetailValuation!$C$7)*(1-SELL_COST_PCT)-PermanentDebt!O9,0)</f>
        <v/>
      </c>
      <c r="P11" s="12">
        <f>IF(P2=EXIT_M,(HotelValuation!$C$7+RetailValuation!$C$7)*(1-SELL_COST_PCT)-PermanentDebt!P9,0)</f>
        <v/>
      </c>
      <c r="Q11" s="12">
        <f>IF(Q2=EXIT_M,(HotelValuation!$C$7+RetailValuation!$C$7)*(1-SELL_COST_PCT)-PermanentDebt!Q9,0)</f>
        <v/>
      </c>
      <c r="R11" s="12">
        <f>IF(R2=EXIT_M,(HotelValuation!$C$7+RetailValuation!$C$7)*(1-SELL_COST_PCT)-PermanentDebt!R9,0)</f>
        <v/>
      </c>
      <c r="S11" s="12">
        <f>IF(S2=EXIT_M,(HotelValuation!$C$7+RetailValuation!$C$7)*(1-SELL_COST_PCT)-PermanentDebt!S9,0)</f>
        <v/>
      </c>
      <c r="T11" s="12">
        <f>IF(T2=EXIT_M,(HotelValuation!$C$7+RetailValuation!$C$7)*(1-SELL_COST_PCT)-PermanentDebt!T9,0)</f>
        <v/>
      </c>
      <c r="U11" s="12">
        <f>IF(U2=EXIT_M,(HotelValuation!$C$7+RetailValuation!$C$7)*(1-SELL_COST_PCT)-PermanentDebt!U9,0)</f>
        <v/>
      </c>
      <c r="V11" s="12">
        <f>IF(V2=EXIT_M,(HotelValuation!$C$7+RetailValuation!$C$7)*(1-SELL_COST_PCT)-PermanentDebt!V9,0)</f>
        <v/>
      </c>
      <c r="W11" s="12">
        <f>IF(W2=EXIT_M,(HotelValuation!$C$7+RetailValuation!$C$7)*(1-SELL_COST_PCT)-PermanentDebt!W9,0)</f>
        <v/>
      </c>
      <c r="X11" s="12">
        <f>IF(X2=EXIT_M,(HotelValuation!$C$7+RetailValuation!$C$7)*(1-SELL_COST_PCT)-PermanentDebt!X9,0)</f>
        <v/>
      </c>
      <c r="Y11" s="12">
        <f>IF(Y2=EXIT_M,(HotelValuation!$C$7+RetailValuation!$C$7)*(1-SELL_COST_PCT)-PermanentDebt!Y9,0)</f>
        <v/>
      </c>
      <c r="Z11" s="12">
        <f>IF(Z2=EXIT_M,(HotelValuation!$C$7+RetailValuation!$C$7)*(1-SELL_COST_PCT)-PermanentDebt!Z9,0)</f>
        <v/>
      </c>
      <c r="AA11" s="12">
        <f>IF(AA2=EXIT_M,(HotelValuation!$C$7+RetailValuation!$C$7)*(1-SELL_COST_PCT)-PermanentDebt!AA9,0)</f>
        <v/>
      </c>
      <c r="AB11" s="12">
        <f>IF(AB2=EXIT_M,(HotelValuation!$C$7+RetailValuation!$C$7)*(1-SELL_COST_PCT)-PermanentDebt!AB9,0)</f>
        <v/>
      </c>
      <c r="AC11" s="12">
        <f>IF(AC2=EXIT_M,(HotelValuation!$C$7+RetailValuation!$C$7)*(1-SELL_COST_PCT)-PermanentDebt!AC9,0)</f>
        <v/>
      </c>
      <c r="AD11" s="12">
        <f>IF(AD2=EXIT_M,(HotelValuation!$C$7+RetailValuation!$C$7)*(1-SELL_COST_PCT)-PermanentDebt!AD9,0)</f>
        <v/>
      </c>
      <c r="AE11" s="12">
        <f>IF(AE2=EXIT_M,(HotelValuation!$C$7+RetailValuation!$C$7)*(1-SELL_COST_PCT)-PermanentDebt!AE9,0)</f>
        <v/>
      </c>
      <c r="AF11" s="12">
        <f>IF(AF2=EXIT_M,(HotelValuation!$C$7+RetailValuation!$C$7)*(1-SELL_COST_PCT)-PermanentDebt!AF9,0)</f>
        <v/>
      </c>
      <c r="AG11" s="12">
        <f>IF(AG2=EXIT_M,(HotelValuation!$C$7+RetailValuation!$C$7)*(1-SELL_COST_PCT)-PermanentDebt!AG9,0)</f>
        <v/>
      </c>
      <c r="AH11" s="12">
        <f>IF(AH2=EXIT_M,(HotelValuation!$C$7+RetailValuation!$C$7)*(1-SELL_COST_PCT)-PermanentDebt!AH9,0)</f>
        <v/>
      </c>
      <c r="AI11" s="12">
        <f>IF(AI2=EXIT_M,(HotelValuation!$C$7+RetailValuation!$C$7)*(1-SELL_COST_PCT)-PermanentDebt!AI9,0)</f>
        <v/>
      </c>
      <c r="AJ11" s="12">
        <f>IF(AJ2=EXIT_M,(HotelValuation!$C$7+RetailValuation!$C$7)*(1-SELL_COST_PCT)-PermanentDebt!AJ9,0)</f>
        <v/>
      </c>
      <c r="AK11" s="12">
        <f>IF(AK2=EXIT_M,(HotelValuation!$C$7+RetailValuation!$C$7)*(1-SELL_COST_PCT)-PermanentDebt!AK9,0)</f>
        <v/>
      </c>
      <c r="AL11" s="12">
        <f>IF(AL2=EXIT_M,(HotelValuation!$C$7+RetailValuation!$C$7)*(1-SELL_COST_PCT)-PermanentDebt!AL9,0)</f>
        <v/>
      </c>
      <c r="AM11" s="12">
        <f>IF(AM2=EXIT_M,(HotelValuation!$C$7+RetailValuation!$C$7)*(1-SELL_COST_PCT)-PermanentDebt!AM9,0)</f>
        <v/>
      </c>
      <c r="AN11" s="12">
        <f>IF(AN2=EXIT_M,(HotelValuation!$C$7+RetailValuation!$C$7)*(1-SELL_COST_PCT)-PermanentDebt!AN9,0)</f>
        <v/>
      </c>
      <c r="AO11" s="12">
        <f>IF(AO2=EXIT_M,(HotelValuation!$C$7+RetailValuation!$C$7)*(1-SELL_COST_PCT)-PermanentDebt!AO9,0)</f>
        <v/>
      </c>
      <c r="AP11" s="12">
        <f>IF(AP2=EXIT_M,(HotelValuation!$C$7+RetailValuation!$C$7)*(1-SELL_COST_PCT)-PermanentDebt!AP9,0)</f>
        <v/>
      </c>
      <c r="AQ11" s="12">
        <f>IF(AQ2=EXIT_M,(HotelValuation!$C$7+RetailValuation!$C$7)*(1-SELL_COST_PCT)-PermanentDebt!AQ9,0)</f>
        <v/>
      </c>
      <c r="AR11" s="12">
        <f>IF(AR2=EXIT_M,(HotelValuation!$C$7+RetailValuation!$C$7)*(1-SELL_COST_PCT)-PermanentDebt!AR9,0)</f>
        <v/>
      </c>
      <c r="AS11" s="12">
        <f>IF(AS2=EXIT_M,(HotelValuation!$C$7+RetailValuation!$C$7)*(1-SELL_COST_PCT)-PermanentDebt!AS9,0)</f>
        <v/>
      </c>
      <c r="AT11" s="12">
        <f>IF(AT2=EXIT_M,(HotelValuation!$C$7+RetailValuation!$C$7)*(1-SELL_COST_PCT)-PermanentDebt!AT9,0)</f>
        <v/>
      </c>
      <c r="AU11" s="12">
        <f>IF(AU2=EXIT_M,(HotelValuation!$C$7+RetailValuation!$C$7)*(1-SELL_COST_PCT)-PermanentDebt!AU9,0)</f>
        <v/>
      </c>
      <c r="AV11" s="12">
        <f>IF(AV2=EXIT_M,(HotelValuation!$C$7+RetailValuation!$C$7)*(1-SELL_COST_PCT)-PermanentDebt!AV9,0)</f>
        <v/>
      </c>
      <c r="AW11" s="12">
        <f>IF(AW2=EXIT_M,(HotelValuation!$C$7+RetailValuation!$C$7)*(1-SELL_COST_PCT)-PermanentDebt!AW9,0)</f>
        <v/>
      </c>
      <c r="AX11" s="12">
        <f>IF(AX2=EXIT_M,(HotelValuation!$C$7+RetailValuation!$C$7)*(1-SELL_COST_PCT)-PermanentDebt!AX9,0)</f>
        <v/>
      </c>
      <c r="AY11" s="12">
        <f>IF(AY2=EXIT_M,(HotelValuation!$C$7+RetailValuation!$C$7)*(1-SELL_COST_PCT)-PermanentDebt!AY9,0)</f>
        <v/>
      </c>
      <c r="AZ11" s="12">
        <f>IF(AZ2=EXIT_M,(HotelValuation!$C$7+RetailValuation!$C$7)*(1-SELL_COST_PCT)-PermanentDebt!AZ9,0)</f>
        <v/>
      </c>
      <c r="BA11" s="12">
        <f>IF(BA2=EXIT_M,(HotelValuation!$C$7+RetailValuation!$C$7)*(1-SELL_COST_PCT)-PermanentDebt!BA9,0)</f>
        <v/>
      </c>
      <c r="BB11" s="12">
        <f>IF(BB2=EXIT_M,(HotelValuation!$C$7+RetailValuation!$C$7)*(1-SELL_COST_PCT)-PermanentDebt!BB9,0)</f>
        <v/>
      </c>
      <c r="BC11" s="12">
        <f>IF(BC2=EXIT_M,(HotelValuation!$C$7+RetailValuation!$C$7)*(1-SELL_COST_PCT)-PermanentDebt!BC9,0)</f>
        <v/>
      </c>
      <c r="BD11" s="12">
        <f>IF(BD2=EXIT_M,(HotelValuation!$C$7+RetailValuation!$C$7)*(1-SELL_COST_PCT)-PermanentDebt!BD9,0)</f>
        <v/>
      </c>
      <c r="BE11" s="12">
        <f>IF(BE2=EXIT_M,(HotelValuation!$C$7+RetailValuation!$C$7)*(1-SELL_COST_PCT)-PermanentDebt!BE9,0)</f>
        <v/>
      </c>
      <c r="BF11" s="12">
        <f>IF(BF2=EXIT_M,(HotelValuation!$C$7+RetailValuation!$C$7)*(1-SELL_COST_PCT)-PermanentDebt!BF9,0)</f>
        <v/>
      </c>
      <c r="BG11" s="12">
        <f>IF(BG2=EXIT_M,(HotelValuation!$C$7+RetailValuation!$C$7)*(1-SELL_COST_PCT)-PermanentDebt!BG9,0)</f>
        <v/>
      </c>
      <c r="BH11" s="12">
        <f>IF(BH2=EXIT_M,(HotelValuation!$C$7+RetailValuation!$C$7)*(1-SELL_COST_PCT)-PermanentDebt!BH9,0)</f>
        <v/>
      </c>
      <c r="BI11" s="12">
        <f>IF(BI2=EXIT_M,(HotelValuation!$C$7+RetailValuation!$C$7)*(1-SELL_COST_PCT)-PermanentDebt!BI9,0)</f>
        <v/>
      </c>
      <c r="BJ11" s="12">
        <f>IF(BJ2=EXIT_M,(HotelValuation!$C$7+RetailValuation!$C$7)*(1-SELL_COST_PCT)-PermanentDebt!BJ9,0)</f>
        <v/>
      </c>
      <c r="BK11" s="12">
        <f>IF(BK2=EXIT_M,(HotelValuation!$C$7+RetailValuation!$C$7)*(1-SELL_COST_PCT)-PermanentDebt!BK9,0)</f>
        <v/>
      </c>
      <c r="BL11" s="12">
        <f>IF(BL2=EXIT_M,(HotelValuation!$C$7+RetailValuation!$C$7)*(1-SELL_COST_PCT)-PermanentDebt!BL9,0)</f>
        <v/>
      </c>
      <c r="BM11" s="12">
        <f>IF(BM2=EXIT_M,(HotelValuation!$C$7+RetailValuation!$C$7)*(1-SELL_COST_PCT)-PermanentDebt!BM9,0)</f>
        <v/>
      </c>
      <c r="BN11" s="12">
        <f>IF(BN2=EXIT_M,(HotelValuation!$C$7+RetailValuation!$C$7)*(1-SELL_COST_PCT)-PermanentDebt!BN9,0)</f>
        <v/>
      </c>
      <c r="BO11" s="12">
        <f>IF(BO2=EXIT_M,(HotelValuation!$C$7+RetailValuation!$C$7)*(1-SELL_COST_PCT)-PermanentDebt!BO9,0)</f>
        <v/>
      </c>
      <c r="BP11" s="12">
        <f>IF(BP2=EXIT_M,(HotelValuation!$C$7+RetailValuation!$C$7)*(1-SELL_COST_PCT)-PermanentDebt!BP9,0)</f>
        <v/>
      </c>
      <c r="BQ11" s="12">
        <f>IF(BQ2=EXIT_M,(HotelValuation!$C$7+RetailValuation!$C$7)*(1-SELL_COST_PCT)-PermanentDebt!BQ9,0)</f>
        <v/>
      </c>
      <c r="BR11" s="12">
        <f>IF(BR2=EXIT_M,(HotelValuation!$C$7+RetailValuation!$C$7)*(1-SELL_COST_PCT)-PermanentDebt!BR9,0)</f>
        <v/>
      </c>
      <c r="BS11" s="12">
        <f>IF(BS2=EXIT_M,(HotelValuation!$C$7+RetailValuation!$C$7)*(1-SELL_COST_PCT)-PermanentDebt!BS9,0)</f>
        <v/>
      </c>
      <c r="BT11" s="12">
        <f>IF(BT2=EXIT_M,(HotelValuation!$C$7+RetailValuation!$C$7)*(1-SELL_COST_PCT)-PermanentDebt!BT9,0)</f>
        <v/>
      </c>
      <c r="BU11" s="12">
        <f>IF(BU2=EXIT_M,(HotelValuation!$C$7+RetailValuation!$C$7)*(1-SELL_COST_PCT)-PermanentDebt!BU9,0)</f>
        <v/>
      </c>
      <c r="BV11" s="12">
        <f>IF(BV2=EXIT_M,(HotelValuation!$C$7+RetailValuation!$C$7)*(1-SELL_COST_PCT)-PermanentDebt!BV9,0)</f>
        <v/>
      </c>
      <c r="BW11" s="12">
        <f>IF(BW2=EXIT_M,(HotelValuation!$C$7+RetailValuation!$C$7)*(1-SELL_COST_PCT)-PermanentDebt!BW9,0)</f>
        <v/>
      </c>
      <c r="BX11" s="12">
        <f>IF(BX2=EXIT_M,(HotelValuation!$C$7+RetailValuation!$C$7)*(1-SELL_COST_PCT)-PermanentDebt!BX9,0)</f>
        <v/>
      </c>
      <c r="BY11" s="12">
        <f>IF(BY2=EXIT_M,(HotelValuation!$C$7+RetailValuation!$C$7)*(1-SELL_COST_PCT)-PermanentDebt!BY9,0)</f>
        <v/>
      </c>
      <c r="BZ11" s="12">
        <f>IF(BZ2=EXIT_M,(HotelValuation!$C$7+RetailValuation!$C$7)*(1-SELL_COST_PCT)-PermanentDebt!BZ9,0)</f>
        <v/>
      </c>
      <c r="CA11" s="12">
        <f>IF(CA2=EXIT_M,(HotelValuation!$C$7+RetailValuation!$C$7)*(1-SELL_COST_PCT)-PermanentDebt!CA9,0)</f>
        <v/>
      </c>
      <c r="CB11" s="12">
        <f>IF(CB2=EXIT_M,(HotelValuation!$C$7+RetailValuation!$C$7)*(1-SELL_COST_PCT)-PermanentDebt!CB9,0)</f>
        <v/>
      </c>
      <c r="CC11" s="12">
        <f>IF(CC2=EXIT_M,(HotelValuation!$C$7+RetailValuation!$C$7)*(1-SELL_COST_PCT)-PermanentDebt!CC9,0)</f>
        <v/>
      </c>
      <c r="CD11" s="12">
        <f>IF(CD2=EXIT_M,(HotelValuation!$C$7+RetailValuation!$C$7)*(1-SELL_COST_PCT)-PermanentDebt!CD9,0)</f>
        <v/>
      </c>
      <c r="CE11" s="12">
        <f>IF(CE2=EXIT_M,(HotelValuation!$C$7+RetailValuation!$C$7)*(1-SELL_COST_PCT)-PermanentDebt!CE9,0)</f>
        <v/>
      </c>
      <c r="CF11" s="12">
        <f>IF(CF2=EXIT_M,(HotelValuation!$C$7+RetailValuation!$C$7)*(1-SELL_COST_PCT)-PermanentDebt!CF9,0)</f>
        <v/>
      </c>
      <c r="CG11" s="12">
        <f>IF(CG2=EXIT_M,(HotelValuation!$C$7+RetailValuation!$C$7)*(1-SELL_COST_PCT)-PermanentDebt!CG9,0)</f>
        <v/>
      </c>
      <c r="CH11" s="12">
        <f>IF(CH2=EXIT_M,(HotelValuation!$C$7+RetailValuation!$C$7)*(1-SELL_COST_PCT)-PermanentDebt!CH9,0)</f>
        <v/>
      </c>
    </row>
    <row r="12">
      <c r="A12" s="3" t="inlineStr">
        <is>
          <t>Distributable cash</t>
        </is>
      </c>
      <c r="B12" s="4" t="inlineStr">
        <is>
          <t>$</t>
        </is>
      </c>
      <c r="C12" s="12">
        <f>C6+C7+C8-C9+C10+C11</f>
        <v/>
      </c>
      <c r="D12" s="12">
        <f>D6+D7+D8-D9+D10+D11</f>
        <v/>
      </c>
      <c r="E12" s="12">
        <f>E6+E7+E8-E9+E10+E11</f>
        <v/>
      </c>
      <c r="F12" s="12">
        <f>F6+F7+F8-F9+F10+F11</f>
        <v/>
      </c>
      <c r="G12" s="12">
        <f>G6+G7+G8-G9+G10+G11</f>
        <v/>
      </c>
      <c r="H12" s="12">
        <f>H6+H7+H8-H9+H10+H11</f>
        <v/>
      </c>
      <c r="I12" s="12">
        <f>I6+I7+I8-I9+I10+I11</f>
        <v/>
      </c>
      <c r="J12" s="12">
        <f>J6+J7+J8-J9+J10+J11</f>
        <v/>
      </c>
      <c r="K12" s="12">
        <f>K6+K7+K8-K9+K10+K11</f>
        <v/>
      </c>
      <c r="L12" s="12">
        <f>L6+L7+L8-L9+L10+L11</f>
        <v/>
      </c>
      <c r="M12" s="12">
        <f>M6+M7+M8-M9+M10+M11</f>
        <v/>
      </c>
      <c r="N12" s="12">
        <f>N6+N7+N8-N9+N10+N11</f>
        <v/>
      </c>
      <c r="O12" s="12">
        <f>O6+O7+O8-O9+O10+O11</f>
        <v/>
      </c>
      <c r="P12" s="12">
        <f>P6+P7+P8-P9+P10+P11</f>
        <v/>
      </c>
      <c r="Q12" s="12">
        <f>Q6+Q7+Q8-Q9+Q10+Q11</f>
        <v/>
      </c>
      <c r="R12" s="12">
        <f>R6+R7+R8-R9+R10+R11</f>
        <v/>
      </c>
      <c r="S12" s="12">
        <f>S6+S7+S8-S9+S10+S11</f>
        <v/>
      </c>
      <c r="T12" s="12">
        <f>T6+T7+T8-T9+T10+T11</f>
        <v/>
      </c>
      <c r="U12" s="12">
        <f>U6+U7+U8-U9+U10+U11</f>
        <v/>
      </c>
      <c r="V12" s="12">
        <f>V6+V7+V8-V9+V10+V11</f>
        <v/>
      </c>
      <c r="W12" s="12">
        <f>W6+W7+W8-W9+W10+W11</f>
        <v/>
      </c>
      <c r="X12" s="12">
        <f>X6+X7+X8-X9+X10+X11</f>
        <v/>
      </c>
      <c r="Y12" s="12">
        <f>Y6+Y7+Y8-Y9+Y10+Y11</f>
        <v/>
      </c>
      <c r="Z12" s="12">
        <f>Z6+Z7+Z8-Z9+Z10+Z11</f>
        <v/>
      </c>
      <c r="AA12" s="12">
        <f>AA6+AA7+AA8-AA9+AA10+AA11</f>
        <v/>
      </c>
      <c r="AB12" s="12">
        <f>AB6+AB7+AB8-AB9+AB10+AB11</f>
        <v/>
      </c>
      <c r="AC12" s="12">
        <f>AC6+AC7+AC8-AC9+AC10+AC11</f>
        <v/>
      </c>
      <c r="AD12" s="12">
        <f>AD6+AD7+AD8-AD9+AD10+AD11</f>
        <v/>
      </c>
      <c r="AE12" s="12">
        <f>AE6+AE7+AE8-AE9+AE10+AE11</f>
        <v/>
      </c>
      <c r="AF12" s="12">
        <f>AF6+AF7+AF8-AF9+AF10+AF11</f>
        <v/>
      </c>
      <c r="AG12" s="12">
        <f>AG6+AG7+AG8-AG9+AG10+AG11</f>
        <v/>
      </c>
      <c r="AH12" s="12">
        <f>AH6+AH7+AH8-AH9+AH10+AH11</f>
        <v/>
      </c>
      <c r="AI12" s="12">
        <f>AI6+AI7+AI8-AI9+AI10+AI11</f>
        <v/>
      </c>
      <c r="AJ12" s="12">
        <f>AJ6+AJ7+AJ8-AJ9+AJ10+AJ11</f>
        <v/>
      </c>
      <c r="AK12" s="12">
        <f>AK6+AK7+AK8-AK9+AK10+AK11</f>
        <v/>
      </c>
      <c r="AL12" s="12">
        <f>AL6+AL7+AL8-AL9+AL10+AL11</f>
        <v/>
      </c>
      <c r="AM12" s="12">
        <f>AM6+AM7+AM8-AM9+AM10+AM11</f>
        <v/>
      </c>
      <c r="AN12" s="12">
        <f>AN6+AN7+AN8-AN9+AN10+AN11</f>
        <v/>
      </c>
      <c r="AO12" s="12">
        <f>AO6+AO7+AO8-AO9+AO10+AO11</f>
        <v/>
      </c>
      <c r="AP12" s="12">
        <f>AP6+AP7+AP8-AP9+AP10+AP11</f>
        <v/>
      </c>
      <c r="AQ12" s="12">
        <f>AQ6+AQ7+AQ8-AQ9+AQ10+AQ11</f>
        <v/>
      </c>
      <c r="AR12" s="12">
        <f>AR6+AR7+AR8-AR9+AR10+AR11</f>
        <v/>
      </c>
      <c r="AS12" s="12">
        <f>AS6+AS7+AS8-AS9+AS10+AS11</f>
        <v/>
      </c>
      <c r="AT12" s="12">
        <f>AT6+AT7+AT8-AT9+AT10+AT11</f>
        <v/>
      </c>
      <c r="AU12" s="12">
        <f>AU6+AU7+AU8-AU9+AU10+AU11</f>
        <v/>
      </c>
      <c r="AV12" s="12">
        <f>AV6+AV7+AV8-AV9+AV10+AV11</f>
        <v/>
      </c>
      <c r="AW12" s="12">
        <f>AW6+AW7+AW8-AW9+AW10+AW11</f>
        <v/>
      </c>
      <c r="AX12" s="12">
        <f>AX6+AX7+AX8-AX9+AX10+AX11</f>
        <v/>
      </c>
      <c r="AY12" s="12">
        <f>AY6+AY7+AY8-AY9+AY10+AY11</f>
        <v/>
      </c>
      <c r="AZ12" s="12">
        <f>AZ6+AZ7+AZ8-AZ9+AZ10+AZ11</f>
        <v/>
      </c>
      <c r="BA12" s="12">
        <f>BA6+BA7+BA8-BA9+BA10+BA11</f>
        <v/>
      </c>
      <c r="BB12" s="12">
        <f>BB6+BB7+BB8-BB9+BB10+BB11</f>
        <v/>
      </c>
      <c r="BC12" s="12">
        <f>BC6+BC7+BC8-BC9+BC10+BC11</f>
        <v/>
      </c>
      <c r="BD12" s="12">
        <f>BD6+BD7+BD8-BD9+BD10+BD11</f>
        <v/>
      </c>
      <c r="BE12" s="12">
        <f>BE6+BE7+BE8-BE9+BE10+BE11</f>
        <v/>
      </c>
      <c r="BF12" s="12">
        <f>BF6+BF7+BF8-BF9+BF10+BF11</f>
        <v/>
      </c>
      <c r="BG12" s="12">
        <f>BG6+BG7+BG8-BG9+BG10+BG11</f>
        <v/>
      </c>
      <c r="BH12" s="12">
        <f>BH6+BH7+BH8-BH9+BH10+BH11</f>
        <v/>
      </c>
      <c r="BI12" s="12">
        <f>BI6+BI7+BI8-BI9+BI10+BI11</f>
        <v/>
      </c>
      <c r="BJ12" s="12">
        <f>BJ6+BJ7+BJ8-BJ9+BJ10+BJ11</f>
        <v/>
      </c>
      <c r="BK12" s="12">
        <f>BK6+BK7+BK8-BK9+BK10+BK11</f>
        <v/>
      </c>
      <c r="BL12" s="12">
        <f>BL6+BL7+BL8-BL9+BL10+BL11</f>
        <v/>
      </c>
      <c r="BM12" s="12">
        <f>BM6+BM7+BM8-BM9+BM10+BM11</f>
        <v/>
      </c>
      <c r="BN12" s="12">
        <f>BN6+BN7+BN8-BN9+BN10+BN11</f>
        <v/>
      </c>
      <c r="BO12" s="12">
        <f>BO6+BO7+BO8-BO9+BO10+BO11</f>
        <v/>
      </c>
      <c r="BP12" s="12">
        <f>BP6+BP7+BP8-BP9+BP10+BP11</f>
        <v/>
      </c>
      <c r="BQ12" s="12">
        <f>BQ6+BQ7+BQ8-BQ9+BQ10+BQ11</f>
        <v/>
      </c>
      <c r="BR12" s="12">
        <f>BR6+BR7+BR8-BR9+BR10+BR11</f>
        <v/>
      </c>
      <c r="BS12" s="12">
        <f>BS6+BS7+BS8-BS9+BS10+BS11</f>
        <v/>
      </c>
      <c r="BT12" s="12">
        <f>BT6+BT7+BT8-BT9+BT10+BT11</f>
        <v/>
      </c>
      <c r="BU12" s="12">
        <f>BU6+BU7+BU8-BU9+BU10+BU11</f>
        <v/>
      </c>
      <c r="BV12" s="12">
        <f>BV6+BV7+BV8-BV9+BV10+BV11</f>
        <v/>
      </c>
      <c r="BW12" s="12">
        <f>BW6+BW7+BW8-BW9+BW10+BW11</f>
        <v/>
      </c>
      <c r="BX12" s="12">
        <f>BX6+BX7+BX8-BX9+BX10+BX11</f>
        <v/>
      </c>
      <c r="BY12" s="12">
        <f>BY6+BY7+BY8-BY9+BY10+BY11</f>
        <v/>
      </c>
      <c r="BZ12" s="12">
        <f>BZ6+BZ7+BZ8-BZ9+BZ10+BZ11</f>
        <v/>
      </c>
      <c r="CA12" s="12">
        <f>CA6+CA7+CA8-CA9+CA10+CA11</f>
        <v/>
      </c>
      <c r="CB12" s="12">
        <f>CB6+CB7+CB8-CB9+CB10+CB11</f>
        <v/>
      </c>
      <c r="CC12" s="12">
        <f>CC6+CC7+CC8-CC9+CC10+CC11</f>
        <v/>
      </c>
      <c r="CD12" s="12">
        <f>CD6+CD7+CD8-CD9+CD10+CD11</f>
        <v/>
      </c>
      <c r="CE12" s="12">
        <f>CE6+CE7+CE8-CE9+CE10+CE11</f>
        <v/>
      </c>
      <c r="CF12" s="12">
        <f>CF6+CF7+CF8-CF9+CF10+CF11</f>
        <v/>
      </c>
      <c r="CG12" s="12">
        <f>CG6+CG7+CG8-CG9+CG10+CG11</f>
        <v/>
      </c>
      <c r="CH12" s="12">
        <f>CH6+CH7+CH8-CH9+CH10+CH11</f>
        <v/>
      </c>
    </row>
    <row r="13">
      <c r="A13" s="3" t="inlineStr">
        <is>
          <t>Equity contribution</t>
        </is>
      </c>
      <c r="B13" s="4" t="inlineStr">
        <is>
          <t>$</t>
        </is>
      </c>
      <c r="C13" s="12">
        <f>ConstructionDebt!C8</f>
        <v/>
      </c>
      <c r="D13" s="12">
        <f>ConstructionDebt!D8</f>
        <v/>
      </c>
      <c r="E13" s="12">
        <f>ConstructionDebt!E8</f>
        <v/>
      </c>
      <c r="F13" s="12">
        <f>ConstructionDebt!F8</f>
        <v/>
      </c>
      <c r="G13" s="12">
        <f>ConstructionDebt!G8</f>
        <v/>
      </c>
      <c r="H13" s="12">
        <f>ConstructionDebt!H8</f>
        <v/>
      </c>
      <c r="I13" s="12">
        <f>ConstructionDebt!I8</f>
        <v/>
      </c>
      <c r="J13" s="12">
        <f>ConstructionDebt!J8</f>
        <v/>
      </c>
      <c r="K13" s="12">
        <f>ConstructionDebt!K8</f>
        <v/>
      </c>
      <c r="L13" s="12">
        <f>ConstructionDebt!L8</f>
        <v/>
      </c>
      <c r="M13" s="12">
        <f>ConstructionDebt!M8</f>
        <v/>
      </c>
      <c r="N13" s="12">
        <f>ConstructionDebt!N8</f>
        <v/>
      </c>
      <c r="O13" s="12">
        <f>ConstructionDebt!O8</f>
        <v/>
      </c>
      <c r="P13" s="12">
        <f>ConstructionDebt!P8</f>
        <v/>
      </c>
      <c r="Q13" s="12">
        <f>ConstructionDebt!Q8</f>
        <v/>
      </c>
      <c r="R13" s="12">
        <f>ConstructionDebt!R8</f>
        <v/>
      </c>
      <c r="S13" s="12">
        <f>ConstructionDebt!S8</f>
        <v/>
      </c>
      <c r="T13" s="12">
        <f>ConstructionDebt!T8</f>
        <v/>
      </c>
      <c r="U13" s="12">
        <f>ConstructionDebt!U8</f>
        <v/>
      </c>
      <c r="V13" s="12">
        <f>ConstructionDebt!V8</f>
        <v/>
      </c>
      <c r="W13" s="12">
        <f>ConstructionDebt!W8</f>
        <v/>
      </c>
      <c r="X13" s="12">
        <f>ConstructionDebt!X8</f>
        <v/>
      </c>
      <c r="Y13" s="12">
        <f>ConstructionDebt!Y8</f>
        <v/>
      </c>
      <c r="Z13" s="12">
        <f>ConstructionDebt!Z8</f>
        <v/>
      </c>
      <c r="AA13" s="12">
        <f>ConstructionDebt!AA8</f>
        <v/>
      </c>
      <c r="AB13" s="12">
        <f>ConstructionDebt!AB8</f>
        <v/>
      </c>
      <c r="AC13" s="12">
        <f>ConstructionDebt!AC8</f>
        <v/>
      </c>
      <c r="AD13" s="12">
        <f>ConstructionDebt!AD8</f>
        <v/>
      </c>
      <c r="AE13" s="12">
        <f>ConstructionDebt!AE8</f>
        <v/>
      </c>
      <c r="AF13" s="12">
        <f>ConstructionDebt!AF8</f>
        <v/>
      </c>
      <c r="AG13" s="12">
        <f>ConstructionDebt!AG8</f>
        <v/>
      </c>
      <c r="AH13" s="12">
        <f>ConstructionDebt!AH8</f>
        <v/>
      </c>
      <c r="AI13" s="12">
        <f>ConstructionDebt!AI8</f>
        <v/>
      </c>
      <c r="AJ13" s="12">
        <f>ConstructionDebt!AJ8</f>
        <v/>
      </c>
      <c r="AK13" s="12">
        <f>ConstructionDebt!AK8</f>
        <v/>
      </c>
      <c r="AL13" s="12">
        <f>ConstructionDebt!AL8</f>
        <v/>
      </c>
      <c r="AM13" s="12">
        <f>ConstructionDebt!AM8</f>
        <v/>
      </c>
      <c r="AN13" s="12">
        <f>ConstructionDebt!AN8</f>
        <v/>
      </c>
      <c r="AO13" s="12">
        <f>ConstructionDebt!AO8</f>
        <v/>
      </c>
      <c r="AP13" s="12">
        <f>ConstructionDebt!AP8</f>
        <v/>
      </c>
      <c r="AQ13" s="12">
        <f>ConstructionDebt!AQ8</f>
        <v/>
      </c>
      <c r="AR13" s="12">
        <f>ConstructionDebt!AR8</f>
        <v/>
      </c>
      <c r="AS13" s="12">
        <f>ConstructionDebt!AS8</f>
        <v/>
      </c>
      <c r="AT13" s="12">
        <f>ConstructionDebt!AT8</f>
        <v/>
      </c>
      <c r="AU13" s="12">
        <f>ConstructionDebt!AU8</f>
        <v/>
      </c>
      <c r="AV13" s="12">
        <f>ConstructionDebt!AV8</f>
        <v/>
      </c>
      <c r="AW13" s="12">
        <f>ConstructionDebt!AW8</f>
        <v/>
      </c>
      <c r="AX13" s="12">
        <f>ConstructionDebt!AX8</f>
        <v/>
      </c>
      <c r="AY13" s="12">
        <f>ConstructionDebt!AY8</f>
        <v/>
      </c>
      <c r="AZ13" s="12">
        <f>ConstructionDebt!AZ8</f>
        <v/>
      </c>
      <c r="BA13" s="12">
        <f>ConstructionDebt!BA8</f>
        <v/>
      </c>
      <c r="BB13" s="12">
        <f>ConstructionDebt!BB8</f>
        <v/>
      </c>
      <c r="BC13" s="12">
        <f>ConstructionDebt!BC8</f>
        <v/>
      </c>
      <c r="BD13" s="12">
        <f>ConstructionDebt!BD8</f>
        <v/>
      </c>
      <c r="BE13" s="12">
        <f>ConstructionDebt!BE8</f>
        <v/>
      </c>
      <c r="BF13" s="12">
        <f>ConstructionDebt!BF8</f>
        <v/>
      </c>
      <c r="BG13" s="12">
        <f>ConstructionDebt!BG8</f>
        <v/>
      </c>
      <c r="BH13" s="12">
        <f>ConstructionDebt!BH8</f>
        <v/>
      </c>
      <c r="BI13" s="12">
        <f>ConstructionDebt!BI8</f>
        <v/>
      </c>
      <c r="BJ13" s="12">
        <f>ConstructionDebt!BJ8</f>
        <v/>
      </c>
      <c r="BK13" s="12">
        <f>ConstructionDebt!BK8</f>
        <v/>
      </c>
      <c r="BL13" s="12">
        <f>ConstructionDebt!BL8</f>
        <v/>
      </c>
      <c r="BM13" s="12">
        <f>ConstructionDebt!BM8</f>
        <v/>
      </c>
      <c r="BN13" s="12">
        <f>ConstructionDebt!BN8</f>
        <v/>
      </c>
      <c r="BO13" s="12">
        <f>ConstructionDebt!BO8</f>
        <v/>
      </c>
      <c r="BP13" s="12">
        <f>ConstructionDebt!BP8</f>
        <v/>
      </c>
      <c r="BQ13" s="12">
        <f>ConstructionDebt!BQ8</f>
        <v/>
      </c>
      <c r="BR13" s="12">
        <f>ConstructionDebt!BR8</f>
        <v/>
      </c>
      <c r="BS13" s="12">
        <f>ConstructionDebt!BS8</f>
        <v/>
      </c>
      <c r="BT13" s="12">
        <f>ConstructionDebt!BT8</f>
        <v/>
      </c>
      <c r="BU13" s="12">
        <f>ConstructionDebt!BU8</f>
        <v/>
      </c>
      <c r="BV13" s="12">
        <f>ConstructionDebt!BV8</f>
        <v/>
      </c>
      <c r="BW13" s="12">
        <f>ConstructionDebt!BW8</f>
        <v/>
      </c>
      <c r="BX13" s="12">
        <f>ConstructionDebt!BX8</f>
        <v/>
      </c>
      <c r="BY13" s="12">
        <f>ConstructionDebt!BY8</f>
        <v/>
      </c>
      <c r="BZ13" s="12">
        <f>ConstructionDebt!BZ8</f>
        <v/>
      </c>
      <c r="CA13" s="12">
        <f>ConstructionDebt!CA8</f>
        <v/>
      </c>
      <c r="CB13" s="12">
        <f>ConstructionDebt!CB8</f>
        <v/>
      </c>
      <c r="CC13" s="12">
        <f>ConstructionDebt!CC8</f>
        <v/>
      </c>
      <c r="CD13" s="12">
        <f>ConstructionDebt!CD8</f>
        <v/>
      </c>
      <c r="CE13" s="12">
        <f>ConstructionDebt!CE8</f>
        <v/>
      </c>
      <c r="CF13" s="12">
        <f>ConstructionDebt!CF8</f>
        <v/>
      </c>
      <c r="CG13" s="12">
        <f>ConstructionDebt!CG8</f>
        <v/>
      </c>
      <c r="CH13" s="12">
        <f>ConstructionDebt!CH8</f>
        <v/>
      </c>
    </row>
    <row r="14">
      <c r="A14" s="3" t="inlineStr">
        <is>
          <t>Waterfall tier 1</t>
        </is>
      </c>
      <c r="B14" s="4" t="inlineStr">
        <is>
          <t>$</t>
        </is>
      </c>
      <c r="C14" s="12">
        <f>Waterfall!C9</f>
        <v/>
      </c>
      <c r="D14" s="12">
        <f>Waterfall!D9</f>
        <v/>
      </c>
      <c r="E14" s="12">
        <f>Waterfall!E9</f>
        <v/>
      </c>
      <c r="F14" s="12">
        <f>Waterfall!F9</f>
        <v/>
      </c>
      <c r="G14" s="12">
        <f>Waterfall!G9</f>
        <v/>
      </c>
      <c r="H14" s="12">
        <f>Waterfall!H9</f>
        <v/>
      </c>
      <c r="I14" s="12">
        <f>Waterfall!I9</f>
        <v/>
      </c>
      <c r="J14" s="12">
        <f>Waterfall!J9</f>
        <v/>
      </c>
      <c r="K14" s="12">
        <f>Waterfall!K9</f>
        <v/>
      </c>
      <c r="L14" s="12">
        <f>Waterfall!L9</f>
        <v/>
      </c>
      <c r="M14" s="12">
        <f>Waterfall!M9</f>
        <v/>
      </c>
      <c r="N14" s="12">
        <f>Waterfall!N9</f>
        <v/>
      </c>
      <c r="O14" s="12">
        <f>Waterfall!O9</f>
        <v/>
      </c>
      <c r="P14" s="12">
        <f>Waterfall!P9</f>
        <v/>
      </c>
      <c r="Q14" s="12">
        <f>Waterfall!Q9</f>
        <v/>
      </c>
      <c r="R14" s="12">
        <f>Waterfall!R9</f>
        <v/>
      </c>
      <c r="S14" s="12">
        <f>Waterfall!S9</f>
        <v/>
      </c>
      <c r="T14" s="12">
        <f>Waterfall!T9</f>
        <v/>
      </c>
      <c r="U14" s="12">
        <f>Waterfall!U9</f>
        <v/>
      </c>
      <c r="V14" s="12">
        <f>Waterfall!V9</f>
        <v/>
      </c>
      <c r="W14" s="12">
        <f>Waterfall!W9</f>
        <v/>
      </c>
      <c r="X14" s="12">
        <f>Waterfall!X9</f>
        <v/>
      </c>
      <c r="Y14" s="12">
        <f>Waterfall!Y9</f>
        <v/>
      </c>
      <c r="Z14" s="12">
        <f>Waterfall!Z9</f>
        <v/>
      </c>
      <c r="AA14" s="12">
        <f>Waterfall!AA9</f>
        <v/>
      </c>
      <c r="AB14" s="12">
        <f>Waterfall!AB9</f>
        <v/>
      </c>
      <c r="AC14" s="12">
        <f>Waterfall!AC9</f>
        <v/>
      </c>
      <c r="AD14" s="12">
        <f>Waterfall!AD9</f>
        <v/>
      </c>
      <c r="AE14" s="12">
        <f>Waterfall!AE9</f>
        <v/>
      </c>
      <c r="AF14" s="12">
        <f>Waterfall!AF9</f>
        <v/>
      </c>
      <c r="AG14" s="12">
        <f>Waterfall!AG9</f>
        <v/>
      </c>
      <c r="AH14" s="12">
        <f>Waterfall!AH9</f>
        <v/>
      </c>
      <c r="AI14" s="12">
        <f>Waterfall!AI9</f>
        <v/>
      </c>
      <c r="AJ14" s="12">
        <f>Waterfall!AJ9</f>
        <v/>
      </c>
      <c r="AK14" s="12">
        <f>Waterfall!AK9</f>
        <v/>
      </c>
      <c r="AL14" s="12">
        <f>Waterfall!AL9</f>
        <v/>
      </c>
      <c r="AM14" s="12">
        <f>Waterfall!AM9</f>
        <v/>
      </c>
      <c r="AN14" s="12">
        <f>Waterfall!AN9</f>
        <v/>
      </c>
      <c r="AO14" s="12">
        <f>Waterfall!AO9</f>
        <v/>
      </c>
      <c r="AP14" s="12">
        <f>Waterfall!AP9</f>
        <v/>
      </c>
      <c r="AQ14" s="12">
        <f>Waterfall!AQ9</f>
        <v/>
      </c>
      <c r="AR14" s="12">
        <f>Waterfall!AR9</f>
        <v/>
      </c>
      <c r="AS14" s="12">
        <f>Waterfall!AS9</f>
        <v/>
      </c>
      <c r="AT14" s="12">
        <f>Waterfall!AT9</f>
        <v/>
      </c>
      <c r="AU14" s="12">
        <f>Waterfall!AU9</f>
        <v/>
      </c>
      <c r="AV14" s="12">
        <f>Waterfall!AV9</f>
        <v/>
      </c>
      <c r="AW14" s="12">
        <f>Waterfall!AW9</f>
        <v/>
      </c>
      <c r="AX14" s="12">
        <f>Waterfall!AX9</f>
        <v/>
      </c>
      <c r="AY14" s="12">
        <f>Waterfall!AY9</f>
        <v/>
      </c>
      <c r="AZ14" s="12">
        <f>Waterfall!AZ9</f>
        <v/>
      </c>
      <c r="BA14" s="12">
        <f>Waterfall!BA9</f>
        <v/>
      </c>
      <c r="BB14" s="12">
        <f>Waterfall!BB9</f>
        <v/>
      </c>
      <c r="BC14" s="12">
        <f>Waterfall!BC9</f>
        <v/>
      </c>
      <c r="BD14" s="12">
        <f>Waterfall!BD9</f>
        <v/>
      </c>
      <c r="BE14" s="12">
        <f>Waterfall!BE9</f>
        <v/>
      </c>
      <c r="BF14" s="12">
        <f>Waterfall!BF9</f>
        <v/>
      </c>
      <c r="BG14" s="12">
        <f>Waterfall!BG9</f>
        <v/>
      </c>
      <c r="BH14" s="12">
        <f>Waterfall!BH9</f>
        <v/>
      </c>
      <c r="BI14" s="12">
        <f>Waterfall!BI9</f>
        <v/>
      </c>
      <c r="BJ14" s="12">
        <f>Waterfall!BJ9</f>
        <v/>
      </c>
      <c r="BK14" s="12">
        <f>Waterfall!BK9</f>
        <v/>
      </c>
      <c r="BL14" s="12">
        <f>Waterfall!BL9</f>
        <v/>
      </c>
      <c r="BM14" s="12">
        <f>Waterfall!BM9</f>
        <v/>
      </c>
      <c r="BN14" s="12">
        <f>Waterfall!BN9</f>
        <v/>
      </c>
      <c r="BO14" s="12">
        <f>Waterfall!BO9</f>
        <v/>
      </c>
      <c r="BP14" s="12">
        <f>Waterfall!BP9</f>
        <v/>
      </c>
      <c r="BQ14" s="12">
        <f>Waterfall!BQ9</f>
        <v/>
      </c>
      <c r="BR14" s="12">
        <f>Waterfall!BR9</f>
        <v/>
      </c>
      <c r="BS14" s="12">
        <f>Waterfall!BS9</f>
        <v/>
      </c>
      <c r="BT14" s="12">
        <f>Waterfall!BT9</f>
        <v/>
      </c>
      <c r="BU14" s="12">
        <f>Waterfall!BU9</f>
        <v/>
      </c>
      <c r="BV14" s="12">
        <f>Waterfall!BV9</f>
        <v/>
      </c>
      <c r="BW14" s="12">
        <f>Waterfall!BW9</f>
        <v/>
      </c>
      <c r="BX14" s="12">
        <f>Waterfall!BX9</f>
        <v/>
      </c>
      <c r="BY14" s="12">
        <f>Waterfall!BY9</f>
        <v/>
      </c>
      <c r="BZ14" s="12">
        <f>Waterfall!BZ9</f>
        <v/>
      </c>
      <c r="CA14" s="12">
        <f>Waterfall!CA9</f>
        <v/>
      </c>
      <c r="CB14" s="12">
        <f>Waterfall!CB9</f>
        <v/>
      </c>
      <c r="CC14" s="12">
        <f>Waterfall!CC9</f>
        <v/>
      </c>
      <c r="CD14" s="12">
        <f>Waterfall!CD9</f>
        <v/>
      </c>
      <c r="CE14" s="12">
        <f>Waterfall!CE9</f>
        <v/>
      </c>
      <c r="CF14" s="12">
        <f>Waterfall!CF9</f>
        <v/>
      </c>
      <c r="CG14" s="12">
        <f>Waterfall!CG9</f>
        <v/>
      </c>
      <c r="CH14" s="12">
        <f>Waterfall!CH9</f>
        <v/>
      </c>
    </row>
    <row r="15">
      <c r="A15" s="3" t="inlineStr">
        <is>
          <t>Waterfall tier 2</t>
        </is>
      </c>
      <c r="B15" s="4" t="inlineStr">
        <is>
          <t>$</t>
        </is>
      </c>
      <c r="C15" s="12">
        <f>Waterfall!C20</f>
        <v/>
      </c>
      <c r="D15" s="12">
        <f>Waterfall!D20</f>
        <v/>
      </c>
      <c r="E15" s="12">
        <f>Waterfall!E20</f>
        <v/>
      </c>
      <c r="F15" s="12">
        <f>Waterfall!F20</f>
        <v/>
      </c>
      <c r="G15" s="12">
        <f>Waterfall!G20</f>
        <v/>
      </c>
      <c r="H15" s="12">
        <f>Waterfall!H20</f>
        <v/>
      </c>
      <c r="I15" s="12">
        <f>Waterfall!I20</f>
        <v/>
      </c>
      <c r="J15" s="12">
        <f>Waterfall!J20</f>
        <v/>
      </c>
      <c r="K15" s="12">
        <f>Waterfall!K20</f>
        <v/>
      </c>
      <c r="L15" s="12">
        <f>Waterfall!L20</f>
        <v/>
      </c>
      <c r="M15" s="12">
        <f>Waterfall!M20</f>
        <v/>
      </c>
      <c r="N15" s="12">
        <f>Waterfall!N20</f>
        <v/>
      </c>
      <c r="O15" s="12">
        <f>Waterfall!O20</f>
        <v/>
      </c>
      <c r="P15" s="12">
        <f>Waterfall!P20</f>
        <v/>
      </c>
      <c r="Q15" s="12">
        <f>Waterfall!Q20</f>
        <v/>
      </c>
      <c r="R15" s="12">
        <f>Waterfall!R20</f>
        <v/>
      </c>
      <c r="S15" s="12">
        <f>Waterfall!S20</f>
        <v/>
      </c>
      <c r="T15" s="12">
        <f>Waterfall!T20</f>
        <v/>
      </c>
      <c r="U15" s="12">
        <f>Waterfall!U20</f>
        <v/>
      </c>
      <c r="V15" s="12">
        <f>Waterfall!V20</f>
        <v/>
      </c>
      <c r="W15" s="12">
        <f>Waterfall!W20</f>
        <v/>
      </c>
      <c r="X15" s="12">
        <f>Waterfall!X20</f>
        <v/>
      </c>
      <c r="Y15" s="12">
        <f>Waterfall!Y20</f>
        <v/>
      </c>
      <c r="Z15" s="12">
        <f>Waterfall!Z20</f>
        <v/>
      </c>
      <c r="AA15" s="12">
        <f>Waterfall!AA20</f>
        <v/>
      </c>
      <c r="AB15" s="12">
        <f>Waterfall!AB20</f>
        <v/>
      </c>
      <c r="AC15" s="12">
        <f>Waterfall!AC20</f>
        <v/>
      </c>
      <c r="AD15" s="12">
        <f>Waterfall!AD20</f>
        <v/>
      </c>
      <c r="AE15" s="12">
        <f>Waterfall!AE20</f>
        <v/>
      </c>
      <c r="AF15" s="12">
        <f>Waterfall!AF20</f>
        <v/>
      </c>
      <c r="AG15" s="12">
        <f>Waterfall!AG20</f>
        <v/>
      </c>
      <c r="AH15" s="12">
        <f>Waterfall!AH20</f>
        <v/>
      </c>
      <c r="AI15" s="12">
        <f>Waterfall!AI20</f>
        <v/>
      </c>
      <c r="AJ15" s="12">
        <f>Waterfall!AJ20</f>
        <v/>
      </c>
      <c r="AK15" s="12">
        <f>Waterfall!AK20</f>
        <v/>
      </c>
      <c r="AL15" s="12">
        <f>Waterfall!AL20</f>
        <v/>
      </c>
      <c r="AM15" s="12">
        <f>Waterfall!AM20</f>
        <v/>
      </c>
      <c r="AN15" s="12">
        <f>Waterfall!AN20</f>
        <v/>
      </c>
      <c r="AO15" s="12">
        <f>Waterfall!AO20</f>
        <v/>
      </c>
      <c r="AP15" s="12">
        <f>Waterfall!AP20</f>
        <v/>
      </c>
      <c r="AQ15" s="12">
        <f>Waterfall!AQ20</f>
        <v/>
      </c>
      <c r="AR15" s="12">
        <f>Waterfall!AR20</f>
        <v/>
      </c>
      <c r="AS15" s="12">
        <f>Waterfall!AS20</f>
        <v/>
      </c>
      <c r="AT15" s="12">
        <f>Waterfall!AT20</f>
        <v/>
      </c>
      <c r="AU15" s="12">
        <f>Waterfall!AU20</f>
        <v/>
      </c>
      <c r="AV15" s="12">
        <f>Waterfall!AV20</f>
        <v/>
      </c>
      <c r="AW15" s="12">
        <f>Waterfall!AW20</f>
        <v/>
      </c>
      <c r="AX15" s="12">
        <f>Waterfall!AX20</f>
        <v/>
      </c>
      <c r="AY15" s="12">
        <f>Waterfall!AY20</f>
        <v/>
      </c>
      <c r="AZ15" s="12">
        <f>Waterfall!AZ20</f>
        <v/>
      </c>
      <c r="BA15" s="12">
        <f>Waterfall!BA20</f>
        <v/>
      </c>
      <c r="BB15" s="12">
        <f>Waterfall!BB20</f>
        <v/>
      </c>
      <c r="BC15" s="12">
        <f>Waterfall!BC20</f>
        <v/>
      </c>
      <c r="BD15" s="12">
        <f>Waterfall!BD20</f>
        <v/>
      </c>
      <c r="BE15" s="12">
        <f>Waterfall!BE20</f>
        <v/>
      </c>
      <c r="BF15" s="12">
        <f>Waterfall!BF20</f>
        <v/>
      </c>
      <c r="BG15" s="12">
        <f>Waterfall!BG20</f>
        <v/>
      </c>
      <c r="BH15" s="12">
        <f>Waterfall!BH20</f>
        <v/>
      </c>
      <c r="BI15" s="12">
        <f>Waterfall!BI20</f>
        <v/>
      </c>
      <c r="BJ15" s="12">
        <f>Waterfall!BJ20</f>
        <v/>
      </c>
      <c r="BK15" s="12">
        <f>Waterfall!BK20</f>
        <v/>
      </c>
      <c r="BL15" s="12">
        <f>Waterfall!BL20</f>
        <v/>
      </c>
      <c r="BM15" s="12">
        <f>Waterfall!BM20</f>
        <v/>
      </c>
      <c r="BN15" s="12">
        <f>Waterfall!BN20</f>
        <v/>
      </c>
      <c r="BO15" s="12">
        <f>Waterfall!BO20</f>
        <v/>
      </c>
      <c r="BP15" s="12">
        <f>Waterfall!BP20</f>
        <v/>
      </c>
      <c r="BQ15" s="12">
        <f>Waterfall!BQ20</f>
        <v/>
      </c>
      <c r="BR15" s="12">
        <f>Waterfall!BR20</f>
        <v/>
      </c>
      <c r="BS15" s="12">
        <f>Waterfall!BS20</f>
        <v/>
      </c>
      <c r="BT15" s="12">
        <f>Waterfall!BT20</f>
        <v/>
      </c>
      <c r="BU15" s="12">
        <f>Waterfall!BU20</f>
        <v/>
      </c>
      <c r="BV15" s="12">
        <f>Waterfall!BV20</f>
        <v/>
      </c>
      <c r="BW15" s="12">
        <f>Waterfall!BW20</f>
        <v/>
      </c>
      <c r="BX15" s="12">
        <f>Waterfall!BX20</f>
        <v/>
      </c>
      <c r="BY15" s="12">
        <f>Waterfall!BY20</f>
        <v/>
      </c>
      <c r="BZ15" s="12">
        <f>Waterfall!BZ20</f>
        <v/>
      </c>
      <c r="CA15" s="12">
        <f>Waterfall!CA20</f>
        <v/>
      </c>
      <c r="CB15" s="12">
        <f>Waterfall!CB20</f>
        <v/>
      </c>
      <c r="CC15" s="12">
        <f>Waterfall!CC20</f>
        <v/>
      </c>
      <c r="CD15" s="12">
        <f>Waterfall!CD20</f>
        <v/>
      </c>
      <c r="CE15" s="12">
        <f>Waterfall!CE20</f>
        <v/>
      </c>
      <c r="CF15" s="12">
        <f>Waterfall!CF20</f>
        <v/>
      </c>
      <c r="CG15" s="12">
        <f>Waterfall!CG20</f>
        <v/>
      </c>
      <c r="CH15" s="12">
        <f>Waterfall!CH20</f>
        <v/>
      </c>
    </row>
    <row r="16">
      <c r="A16" s="3" t="inlineStr">
        <is>
          <t>Waterfall tier 3</t>
        </is>
      </c>
      <c r="B16" s="4" t="inlineStr">
        <is>
          <t>$</t>
        </is>
      </c>
      <c r="C16" s="12">
        <f>Waterfall!C28</f>
        <v/>
      </c>
      <c r="D16" s="12">
        <f>Waterfall!D28</f>
        <v/>
      </c>
      <c r="E16" s="12">
        <f>Waterfall!E28</f>
        <v/>
      </c>
      <c r="F16" s="12">
        <f>Waterfall!F28</f>
        <v/>
      </c>
      <c r="G16" s="12">
        <f>Waterfall!G28</f>
        <v/>
      </c>
      <c r="H16" s="12">
        <f>Waterfall!H28</f>
        <v/>
      </c>
      <c r="I16" s="12">
        <f>Waterfall!I28</f>
        <v/>
      </c>
      <c r="J16" s="12">
        <f>Waterfall!J28</f>
        <v/>
      </c>
      <c r="K16" s="12">
        <f>Waterfall!K28</f>
        <v/>
      </c>
      <c r="L16" s="12">
        <f>Waterfall!L28</f>
        <v/>
      </c>
      <c r="M16" s="12">
        <f>Waterfall!M28</f>
        <v/>
      </c>
      <c r="N16" s="12">
        <f>Waterfall!N28</f>
        <v/>
      </c>
      <c r="O16" s="12">
        <f>Waterfall!O28</f>
        <v/>
      </c>
      <c r="P16" s="12">
        <f>Waterfall!P28</f>
        <v/>
      </c>
      <c r="Q16" s="12">
        <f>Waterfall!Q28</f>
        <v/>
      </c>
      <c r="R16" s="12">
        <f>Waterfall!R28</f>
        <v/>
      </c>
      <c r="S16" s="12">
        <f>Waterfall!S28</f>
        <v/>
      </c>
      <c r="T16" s="12">
        <f>Waterfall!T28</f>
        <v/>
      </c>
      <c r="U16" s="12">
        <f>Waterfall!U28</f>
        <v/>
      </c>
      <c r="V16" s="12">
        <f>Waterfall!V28</f>
        <v/>
      </c>
      <c r="W16" s="12">
        <f>Waterfall!W28</f>
        <v/>
      </c>
      <c r="X16" s="12">
        <f>Waterfall!X28</f>
        <v/>
      </c>
      <c r="Y16" s="12">
        <f>Waterfall!Y28</f>
        <v/>
      </c>
      <c r="Z16" s="12">
        <f>Waterfall!Z28</f>
        <v/>
      </c>
      <c r="AA16" s="12">
        <f>Waterfall!AA28</f>
        <v/>
      </c>
      <c r="AB16" s="12">
        <f>Waterfall!AB28</f>
        <v/>
      </c>
      <c r="AC16" s="12">
        <f>Waterfall!AC28</f>
        <v/>
      </c>
      <c r="AD16" s="12">
        <f>Waterfall!AD28</f>
        <v/>
      </c>
      <c r="AE16" s="12">
        <f>Waterfall!AE28</f>
        <v/>
      </c>
      <c r="AF16" s="12">
        <f>Waterfall!AF28</f>
        <v/>
      </c>
      <c r="AG16" s="12">
        <f>Waterfall!AG28</f>
        <v/>
      </c>
      <c r="AH16" s="12">
        <f>Waterfall!AH28</f>
        <v/>
      </c>
      <c r="AI16" s="12">
        <f>Waterfall!AI28</f>
        <v/>
      </c>
      <c r="AJ16" s="12">
        <f>Waterfall!AJ28</f>
        <v/>
      </c>
      <c r="AK16" s="12">
        <f>Waterfall!AK28</f>
        <v/>
      </c>
      <c r="AL16" s="12">
        <f>Waterfall!AL28</f>
        <v/>
      </c>
      <c r="AM16" s="12">
        <f>Waterfall!AM28</f>
        <v/>
      </c>
      <c r="AN16" s="12">
        <f>Waterfall!AN28</f>
        <v/>
      </c>
      <c r="AO16" s="12">
        <f>Waterfall!AO28</f>
        <v/>
      </c>
      <c r="AP16" s="12">
        <f>Waterfall!AP28</f>
        <v/>
      </c>
      <c r="AQ16" s="12">
        <f>Waterfall!AQ28</f>
        <v/>
      </c>
      <c r="AR16" s="12">
        <f>Waterfall!AR28</f>
        <v/>
      </c>
      <c r="AS16" s="12">
        <f>Waterfall!AS28</f>
        <v/>
      </c>
      <c r="AT16" s="12">
        <f>Waterfall!AT28</f>
        <v/>
      </c>
      <c r="AU16" s="12">
        <f>Waterfall!AU28</f>
        <v/>
      </c>
      <c r="AV16" s="12">
        <f>Waterfall!AV28</f>
        <v/>
      </c>
      <c r="AW16" s="12">
        <f>Waterfall!AW28</f>
        <v/>
      </c>
      <c r="AX16" s="12">
        <f>Waterfall!AX28</f>
        <v/>
      </c>
      <c r="AY16" s="12">
        <f>Waterfall!AY28</f>
        <v/>
      </c>
      <c r="AZ16" s="12">
        <f>Waterfall!AZ28</f>
        <v/>
      </c>
      <c r="BA16" s="12">
        <f>Waterfall!BA28</f>
        <v/>
      </c>
      <c r="BB16" s="12">
        <f>Waterfall!BB28</f>
        <v/>
      </c>
      <c r="BC16" s="12">
        <f>Waterfall!BC28</f>
        <v/>
      </c>
      <c r="BD16" s="12">
        <f>Waterfall!BD28</f>
        <v/>
      </c>
      <c r="BE16" s="12">
        <f>Waterfall!BE28</f>
        <v/>
      </c>
      <c r="BF16" s="12">
        <f>Waterfall!BF28</f>
        <v/>
      </c>
      <c r="BG16" s="12">
        <f>Waterfall!BG28</f>
        <v/>
      </c>
      <c r="BH16" s="12">
        <f>Waterfall!BH28</f>
        <v/>
      </c>
      <c r="BI16" s="12">
        <f>Waterfall!BI28</f>
        <v/>
      </c>
      <c r="BJ16" s="12">
        <f>Waterfall!BJ28</f>
        <v/>
      </c>
      <c r="BK16" s="12">
        <f>Waterfall!BK28</f>
        <v/>
      </c>
      <c r="BL16" s="12">
        <f>Waterfall!BL28</f>
        <v/>
      </c>
      <c r="BM16" s="12">
        <f>Waterfall!BM28</f>
        <v/>
      </c>
      <c r="BN16" s="12">
        <f>Waterfall!BN28</f>
        <v/>
      </c>
      <c r="BO16" s="12">
        <f>Waterfall!BO28</f>
        <v/>
      </c>
      <c r="BP16" s="12">
        <f>Waterfall!BP28</f>
        <v/>
      </c>
      <c r="BQ16" s="12">
        <f>Waterfall!BQ28</f>
        <v/>
      </c>
      <c r="BR16" s="12">
        <f>Waterfall!BR28</f>
        <v/>
      </c>
      <c r="BS16" s="12">
        <f>Waterfall!BS28</f>
        <v/>
      </c>
      <c r="BT16" s="12">
        <f>Waterfall!BT28</f>
        <v/>
      </c>
      <c r="BU16" s="12">
        <f>Waterfall!BU28</f>
        <v/>
      </c>
      <c r="BV16" s="12">
        <f>Waterfall!BV28</f>
        <v/>
      </c>
      <c r="BW16" s="12">
        <f>Waterfall!BW28</f>
        <v/>
      </c>
      <c r="BX16" s="12">
        <f>Waterfall!BX28</f>
        <v/>
      </c>
      <c r="BY16" s="12">
        <f>Waterfall!BY28</f>
        <v/>
      </c>
      <c r="BZ16" s="12">
        <f>Waterfall!BZ28</f>
        <v/>
      </c>
      <c r="CA16" s="12">
        <f>Waterfall!CA28</f>
        <v/>
      </c>
      <c r="CB16" s="12">
        <f>Waterfall!CB28</f>
        <v/>
      </c>
      <c r="CC16" s="12">
        <f>Waterfall!CC28</f>
        <v/>
      </c>
      <c r="CD16" s="12">
        <f>Waterfall!CD28</f>
        <v/>
      </c>
      <c r="CE16" s="12">
        <f>Waterfall!CE28</f>
        <v/>
      </c>
      <c r="CF16" s="12">
        <f>Waterfall!CF28</f>
        <v/>
      </c>
      <c r="CG16" s="12">
        <f>Waterfall!CG28</f>
        <v/>
      </c>
      <c r="CH16" s="12">
        <f>Waterfall!CH28</f>
        <v/>
      </c>
    </row>
    <row r="17">
      <c r="A17" s="3" t="inlineStr">
        <is>
          <t>Waterfall tier 4</t>
        </is>
      </c>
      <c r="B17" s="4" t="inlineStr">
        <is>
          <t>$</t>
        </is>
      </c>
      <c r="C17" s="12">
        <f>Waterfall!C33</f>
        <v/>
      </c>
      <c r="D17" s="12">
        <f>Waterfall!D33</f>
        <v/>
      </c>
      <c r="E17" s="12">
        <f>Waterfall!E33</f>
        <v/>
      </c>
      <c r="F17" s="12">
        <f>Waterfall!F33</f>
        <v/>
      </c>
      <c r="G17" s="12">
        <f>Waterfall!G33</f>
        <v/>
      </c>
      <c r="H17" s="12">
        <f>Waterfall!H33</f>
        <v/>
      </c>
      <c r="I17" s="12">
        <f>Waterfall!I33</f>
        <v/>
      </c>
      <c r="J17" s="12">
        <f>Waterfall!J33</f>
        <v/>
      </c>
      <c r="K17" s="12">
        <f>Waterfall!K33</f>
        <v/>
      </c>
      <c r="L17" s="12">
        <f>Waterfall!L33</f>
        <v/>
      </c>
      <c r="M17" s="12">
        <f>Waterfall!M33</f>
        <v/>
      </c>
      <c r="N17" s="12">
        <f>Waterfall!N33</f>
        <v/>
      </c>
      <c r="O17" s="12">
        <f>Waterfall!O33</f>
        <v/>
      </c>
      <c r="P17" s="12">
        <f>Waterfall!P33</f>
        <v/>
      </c>
      <c r="Q17" s="12">
        <f>Waterfall!Q33</f>
        <v/>
      </c>
      <c r="R17" s="12">
        <f>Waterfall!R33</f>
        <v/>
      </c>
      <c r="S17" s="12">
        <f>Waterfall!S33</f>
        <v/>
      </c>
      <c r="T17" s="12">
        <f>Waterfall!T33</f>
        <v/>
      </c>
      <c r="U17" s="12">
        <f>Waterfall!U33</f>
        <v/>
      </c>
      <c r="V17" s="12">
        <f>Waterfall!V33</f>
        <v/>
      </c>
      <c r="W17" s="12">
        <f>Waterfall!W33</f>
        <v/>
      </c>
      <c r="X17" s="12">
        <f>Waterfall!X33</f>
        <v/>
      </c>
      <c r="Y17" s="12">
        <f>Waterfall!Y33</f>
        <v/>
      </c>
      <c r="Z17" s="12">
        <f>Waterfall!Z33</f>
        <v/>
      </c>
      <c r="AA17" s="12">
        <f>Waterfall!AA33</f>
        <v/>
      </c>
      <c r="AB17" s="12">
        <f>Waterfall!AB33</f>
        <v/>
      </c>
      <c r="AC17" s="12">
        <f>Waterfall!AC33</f>
        <v/>
      </c>
      <c r="AD17" s="12">
        <f>Waterfall!AD33</f>
        <v/>
      </c>
      <c r="AE17" s="12">
        <f>Waterfall!AE33</f>
        <v/>
      </c>
      <c r="AF17" s="12">
        <f>Waterfall!AF33</f>
        <v/>
      </c>
      <c r="AG17" s="12">
        <f>Waterfall!AG33</f>
        <v/>
      </c>
      <c r="AH17" s="12">
        <f>Waterfall!AH33</f>
        <v/>
      </c>
      <c r="AI17" s="12">
        <f>Waterfall!AI33</f>
        <v/>
      </c>
      <c r="AJ17" s="12">
        <f>Waterfall!AJ33</f>
        <v/>
      </c>
      <c r="AK17" s="12">
        <f>Waterfall!AK33</f>
        <v/>
      </c>
      <c r="AL17" s="12">
        <f>Waterfall!AL33</f>
        <v/>
      </c>
      <c r="AM17" s="12">
        <f>Waterfall!AM33</f>
        <v/>
      </c>
      <c r="AN17" s="12">
        <f>Waterfall!AN33</f>
        <v/>
      </c>
      <c r="AO17" s="12">
        <f>Waterfall!AO33</f>
        <v/>
      </c>
      <c r="AP17" s="12">
        <f>Waterfall!AP33</f>
        <v/>
      </c>
      <c r="AQ17" s="12">
        <f>Waterfall!AQ33</f>
        <v/>
      </c>
      <c r="AR17" s="12">
        <f>Waterfall!AR33</f>
        <v/>
      </c>
      <c r="AS17" s="12">
        <f>Waterfall!AS33</f>
        <v/>
      </c>
      <c r="AT17" s="12">
        <f>Waterfall!AT33</f>
        <v/>
      </c>
      <c r="AU17" s="12">
        <f>Waterfall!AU33</f>
        <v/>
      </c>
      <c r="AV17" s="12">
        <f>Waterfall!AV33</f>
        <v/>
      </c>
      <c r="AW17" s="12">
        <f>Waterfall!AW33</f>
        <v/>
      </c>
      <c r="AX17" s="12">
        <f>Waterfall!AX33</f>
        <v/>
      </c>
      <c r="AY17" s="12">
        <f>Waterfall!AY33</f>
        <v/>
      </c>
      <c r="AZ17" s="12">
        <f>Waterfall!AZ33</f>
        <v/>
      </c>
      <c r="BA17" s="12">
        <f>Waterfall!BA33</f>
        <v/>
      </c>
      <c r="BB17" s="12">
        <f>Waterfall!BB33</f>
        <v/>
      </c>
      <c r="BC17" s="12">
        <f>Waterfall!BC33</f>
        <v/>
      </c>
      <c r="BD17" s="12">
        <f>Waterfall!BD33</f>
        <v/>
      </c>
      <c r="BE17" s="12">
        <f>Waterfall!BE33</f>
        <v/>
      </c>
      <c r="BF17" s="12">
        <f>Waterfall!BF33</f>
        <v/>
      </c>
      <c r="BG17" s="12">
        <f>Waterfall!BG33</f>
        <v/>
      </c>
      <c r="BH17" s="12">
        <f>Waterfall!BH33</f>
        <v/>
      </c>
      <c r="BI17" s="12">
        <f>Waterfall!BI33</f>
        <v/>
      </c>
      <c r="BJ17" s="12">
        <f>Waterfall!BJ33</f>
        <v/>
      </c>
      <c r="BK17" s="12">
        <f>Waterfall!BK33</f>
        <v/>
      </c>
      <c r="BL17" s="12">
        <f>Waterfall!BL33</f>
        <v/>
      </c>
      <c r="BM17" s="12">
        <f>Waterfall!BM33</f>
        <v/>
      </c>
      <c r="BN17" s="12">
        <f>Waterfall!BN33</f>
        <v/>
      </c>
      <c r="BO17" s="12">
        <f>Waterfall!BO33</f>
        <v/>
      </c>
      <c r="BP17" s="12">
        <f>Waterfall!BP33</f>
        <v/>
      </c>
      <c r="BQ17" s="12">
        <f>Waterfall!BQ33</f>
        <v/>
      </c>
      <c r="BR17" s="12">
        <f>Waterfall!BR33</f>
        <v/>
      </c>
      <c r="BS17" s="12">
        <f>Waterfall!BS33</f>
        <v/>
      </c>
      <c r="BT17" s="12">
        <f>Waterfall!BT33</f>
        <v/>
      </c>
      <c r="BU17" s="12">
        <f>Waterfall!BU33</f>
        <v/>
      </c>
      <c r="BV17" s="12">
        <f>Waterfall!BV33</f>
        <v/>
      </c>
      <c r="BW17" s="12">
        <f>Waterfall!BW33</f>
        <v/>
      </c>
      <c r="BX17" s="12">
        <f>Waterfall!BX33</f>
        <v/>
      </c>
      <c r="BY17" s="12">
        <f>Waterfall!BY33</f>
        <v/>
      </c>
      <c r="BZ17" s="12">
        <f>Waterfall!BZ33</f>
        <v/>
      </c>
      <c r="CA17" s="12">
        <f>Waterfall!CA33</f>
        <v/>
      </c>
      <c r="CB17" s="12">
        <f>Waterfall!CB33</f>
        <v/>
      </c>
      <c r="CC17" s="12">
        <f>Waterfall!CC33</f>
        <v/>
      </c>
      <c r="CD17" s="12">
        <f>Waterfall!CD33</f>
        <v/>
      </c>
      <c r="CE17" s="12">
        <f>Waterfall!CE33</f>
        <v/>
      </c>
      <c r="CF17" s="12">
        <f>Waterfall!CF33</f>
        <v/>
      </c>
      <c r="CG17" s="12">
        <f>Waterfall!CG33</f>
        <v/>
      </c>
      <c r="CH17" s="12">
        <f>Waterfall!CH33</f>
        <v/>
      </c>
    </row>
    <row r="18">
      <c r="A18" s="3" t="inlineStr">
        <is>
          <t>Retained cash</t>
        </is>
      </c>
      <c r="B18" s="4" t="inlineStr">
        <is>
          <t>$</t>
        </is>
      </c>
      <c r="C18" s="14">
        <f>C12-(C14+C15+C16+C17)</f>
        <v/>
      </c>
      <c r="D18" s="14">
        <f>D12-(D14+D15+D16+D17)</f>
        <v/>
      </c>
      <c r="E18" s="14">
        <f>E12-(E14+E15+E16+E17)</f>
        <v/>
      </c>
      <c r="F18" s="14">
        <f>F12-(F14+F15+F16+F17)</f>
        <v/>
      </c>
      <c r="G18" s="14">
        <f>G12-(G14+G15+G16+G17)</f>
        <v/>
      </c>
      <c r="H18" s="14">
        <f>H12-(H14+H15+H16+H17)</f>
        <v/>
      </c>
      <c r="I18" s="14">
        <f>I12-(I14+I15+I16+I17)</f>
        <v/>
      </c>
      <c r="J18" s="14">
        <f>J12-(J14+J15+J16+J17)</f>
        <v/>
      </c>
      <c r="K18" s="14">
        <f>K12-(K14+K15+K16+K17)</f>
        <v/>
      </c>
      <c r="L18" s="14">
        <f>L12-(L14+L15+L16+L17)</f>
        <v/>
      </c>
      <c r="M18" s="14">
        <f>M12-(M14+M15+M16+M17)</f>
        <v/>
      </c>
      <c r="N18" s="14">
        <f>N12-(N14+N15+N16+N17)</f>
        <v/>
      </c>
      <c r="O18" s="14">
        <f>O12-(O14+O15+O16+O17)</f>
        <v/>
      </c>
      <c r="P18" s="14">
        <f>P12-(P14+P15+P16+P17)</f>
        <v/>
      </c>
      <c r="Q18" s="14">
        <f>Q12-(Q14+Q15+Q16+Q17)</f>
        <v/>
      </c>
      <c r="R18" s="14">
        <f>R12-(R14+R15+R16+R17)</f>
        <v/>
      </c>
      <c r="S18" s="14">
        <f>S12-(S14+S15+S16+S17)</f>
        <v/>
      </c>
      <c r="T18" s="14">
        <f>T12-(T14+T15+T16+T17)</f>
        <v/>
      </c>
      <c r="U18" s="14">
        <f>U12-(U14+U15+U16+U17)</f>
        <v/>
      </c>
      <c r="V18" s="14">
        <f>V12-(V14+V15+V16+V17)</f>
        <v/>
      </c>
      <c r="W18" s="14">
        <f>W12-(W14+W15+W16+W17)</f>
        <v/>
      </c>
      <c r="X18" s="14">
        <f>X12-(X14+X15+X16+X17)</f>
        <v/>
      </c>
      <c r="Y18" s="14">
        <f>Y12-(Y14+Y15+Y16+Y17)</f>
        <v/>
      </c>
      <c r="Z18" s="14">
        <f>Z12-(Z14+Z15+Z16+Z17)</f>
        <v/>
      </c>
      <c r="AA18" s="14">
        <f>AA12-(AA14+AA15+AA16+AA17)</f>
        <v/>
      </c>
      <c r="AB18" s="14">
        <f>AB12-(AB14+AB15+AB16+AB17)</f>
        <v/>
      </c>
      <c r="AC18" s="14">
        <f>AC12-(AC14+AC15+AC16+AC17)</f>
        <v/>
      </c>
      <c r="AD18" s="14">
        <f>AD12-(AD14+AD15+AD16+AD17)</f>
        <v/>
      </c>
      <c r="AE18" s="14">
        <f>AE12-(AE14+AE15+AE16+AE17)</f>
        <v/>
      </c>
      <c r="AF18" s="14">
        <f>AF12-(AF14+AF15+AF16+AF17)</f>
        <v/>
      </c>
      <c r="AG18" s="14">
        <f>AG12-(AG14+AG15+AG16+AG17)</f>
        <v/>
      </c>
      <c r="AH18" s="14">
        <f>AH12-(AH14+AH15+AH16+AH17)</f>
        <v/>
      </c>
      <c r="AI18" s="14">
        <f>AI12-(AI14+AI15+AI16+AI17)</f>
        <v/>
      </c>
      <c r="AJ18" s="14">
        <f>AJ12-(AJ14+AJ15+AJ16+AJ17)</f>
        <v/>
      </c>
      <c r="AK18" s="14">
        <f>AK12-(AK14+AK15+AK16+AK17)</f>
        <v/>
      </c>
      <c r="AL18" s="14">
        <f>AL12-(AL14+AL15+AL16+AL17)</f>
        <v/>
      </c>
      <c r="AM18" s="14">
        <f>AM12-(AM14+AM15+AM16+AM17)</f>
        <v/>
      </c>
      <c r="AN18" s="14">
        <f>AN12-(AN14+AN15+AN16+AN17)</f>
        <v/>
      </c>
      <c r="AO18" s="14">
        <f>AO12-(AO14+AO15+AO16+AO17)</f>
        <v/>
      </c>
      <c r="AP18" s="14">
        <f>AP12-(AP14+AP15+AP16+AP17)</f>
        <v/>
      </c>
      <c r="AQ18" s="14">
        <f>AQ12-(AQ14+AQ15+AQ16+AQ17)</f>
        <v/>
      </c>
      <c r="AR18" s="14">
        <f>AR12-(AR14+AR15+AR16+AR17)</f>
        <v/>
      </c>
      <c r="AS18" s="14">
        <f>AS12-(AS14+AS15+AS16+AS17)</f>
        <v/>
      </c>
      <c r="AT18" s="14">
        <f>AT12-(AT14+AT15+AT16+AT17)</f>
        <v/>
      </c>
      <c r="AU18" s="14">
        <f>AU12-(AU14+AU15+AU16+AU17)</f>
        <v/>
      </c>
      <c r="AV18" s="14">
        <f>AV12-(AV14+AV15+AV16+AV17)</f>
        <v/>
      </c>
      <c r="AW18" s="14">
        <f>AW12-(AW14+AW15+AW16+AW17)</f>
        <v/>
      </c>
      <c r="AX18" s="14">
        <f>AX12-(AX14+AX15+AX16+AX17)</f>
        <v/>
      </c>
      <c r="AY18" s="14">
        <f>AY12-(AY14+AY15+AY16+AY17)</f>
        <v/>
      </c>
      <c r="AZ18" s="14">
        <f>AZ12-(AZ14+AZ15+AZ16+AZ17)</f>
        <v/>
      </c>
      <c r="BA18" s="14">
        <f>BA12-(BA14+BA15+BA16+BA17)</f>
        <v/>
      </c>
      <c r="BB18" s="14">
        <f>BB12-(BB14+BB15+BB16+BB17)</f>
        <v/>
      </c>
      <c r="BC18" s="14">
        <f>BC12-(BC14+BC15+BC16+BC17)</f>
        <v/>
      </c>
      <c r="BD18" s="14">
        <f>BD12-(BD14+BD15+BD16+BD17)</f>
        <v/>
      </c>
      <c r="BE18" s="14">
        <f>BE12-(BE14+BE15+BE16+BE17)</f>
        <v/>
      </c>
      <c r="BF18" s="14">
        <f>BF12-(BF14+BF15+BF16+BF17)</f>
        <v/>
      </c>
      <c r="BG18" s="14">
        <f>BG12-(BG14+BG15+BG16+BG17)</f>
        <v/>
      </c>
      <c r="BH18" s="14">
        <f>BH12-(BH14+BH15+BH16+BH17)</f>
        <v/>
      </c>
      <c r="BI18" s="14">
        <f>BI12-(BI14+BI15+BI16+BI17)</f>
        <v/>
      </c>
      <c r="BJ18" s="14">
        <f>BJ12-(BJ14+BJ15+BJ16+BJ17)</f>
        <v/>
      </c>
      <c r="BK18" s="14">
        <f>BK12-(BK14+BK15+BK16+BK17)</f>
        <v/>
      </c>
      <c r="BL18" s="14">
        <f>BL12-(BL14+BL15+BL16+BL17)</f>
        <v/>
      </c>
      <c r="BM18" s="14">
        <f>BM12-(BM14+BM15+BM16+BM17)</f>
        <v/>
      </c>
      <c r="BN18" s="14">
        <f>BN12-(BN14+BN15+BN16+BN17)</f>
        <v/>
      </c>
      <c r="BO18" s="14">
        <f>BO12-(BO14+BO15+BO16+BO17)</f>
        <v/>
      </c>
      <c r="BP18" s="14">
        <f>BP12-(BP14+BP15+BP16+BP17)</f>
        <v/>
      </c>
      <c r="BQ18" s="14">
        <f>BQ12-(BQ14+BQ15+BQ16+BQ17)</f>
        <v/>
      </c>
      <c r="BR18" s="14">
        <f>BR12-(BR14+BR15+BR16+BR17)</f>
        <v/>
      </c>
      <c r="BS18" s="14">
        <f>BS12-(BS14+BS15+BS16+BS17)</f>
        <v/>
      </c>
      <c r="BT18" s="14">
        <f>BT12-(BT14+BT15+BT16+BT17)</f>
        <v/>
      </c>
      <c r="BU18" s="14">
        <f>BU12-(BU14+BU15+BU16+BU17)</f>
        <v/>
      </c>
      <c r="BV18" s="14">
        <f>BV12-(BV14+BV15+BV16+BV17)</f>
        <v/>
      </c>
      <c r="BW18" s="14">
        <f>BW12-(BW14+BW15+BW16+BW17)</f>
        <v/>
      </c>
      <c r="BX18" s="14">
        <f>BX12-(BX14+BX15+BX16+BX17)</f>
        <v/>
      </c>
      <c r="BY18" s="14">
        <f>BY12-(BY14+BY15+BY16+BY17)</f>
        <v/>
      </c>
      <c r="BZ18" s="14">
        <f>BZ12-(BZ14+BZ15+BZ16+BZ17)</f>
        <v/>
      </c>
      <c r="CA18" s="14">
        <f>CA12-(CA14+CA15+CA16+CA17)</f>
        <v/>
      </c>
      <c r="CB18" s="14">
        <f>CB12-(CB14+CB15+CB16+CB17)</f>
        <v/>
      </c>
      <c r="CC18" s="14">
        <f>CC12-(CC14+CC15+CC16+CC17)</f>
        <v/>
      </c>
      <c r="CD18" s="14">
        <f>CD12-(CD14+CD15+CD16+CD17)</f>
        <v/>
      </c>
      <c r="CE18" s="14">
        <f>CE12-(CE14+CE15+CE16+CE17)</f>
        <v/>
      </c>
      <c r="CF18" s="14">
        <f>CF12-(CF14+CF15+CF16+CF17)</f>
        <v/>
      </c>
      <c r="CG18" s="14">
        <f>CG12-(CG14+CG15+CG16+CG17)</f>
        <v/>
      </c>
      <c r="CH18" s="14">
        <f>CH12-(CH14+CH15+CH16+CH17)</f>
        <v/>
      </c>
    </row>
  </sheetData>
  <autoFilter ref="A2:CH2"/>
  <pageMargins left="0.4" right="0.4" top="0.6" bottom="0.5" header="0.25" footer="0.25"/>
  <pageSetup orientation="landscape" paperSize="3" scale="55" fitToHeight="0" fitToWidth="1"/>
  <headerFooter>
    <oddHeader>&amp;LElite Luxury Mixed-Use  |  Illustrative template&amp;CProjectCF</oddHeader>
    <oddFooter>&amp;LNot a live deal  |  Not an offering  |  Not investment advice&amp;RPage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H43"/>
  <sheetViews>
    <sheetView view="pageBreakPreview" zoomScale="8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</cols>
  <sheetData>
    <row r="1" ht="22" customHeight="1">
      <c r="A1" s="1" t="inlineStr">
        <is>
          <t>Waterfall</t>
        </is>
      </c>
    </row>
    <row r="2">
      <c r="A2" s="3" t="inlineStr">
        <is>
          <t>Month</t>
        </is>
      </c>
      <c r="B2" t="inlineStr">
        <is>
          <t>index</t>
        </is>
      </c>
      <c r="C2" s="15">
        <f>COLUMN()-2</f>
        <v/>
      </c>
      <c r="D2" s="15">
        <f>COLUMN()-2</f>
        <v/>
      </c>
      <c r="E2" s="15">
        <f>COLUMN()-2</f>
        <v/>
      </c>
      <c r="F2" s="15">
        <f>COLUMN()-2</f>
        <v/>
      </c>
      <c r="G2" s="15">
        <f>COLUMN()-2</f>
        <v/>
      </c>
      <c r="H2" s="15">
        <f>COLUMN()-2</f>
        <v/>
      </c>
      <c r="I2" s="15">
        <f>COLUMN()-2</f>
        <v/>
      </c>
      <c r="J2" s="15">
        <f>COLUMN()-2</f>
        <v/>
      </c>
      <c r="K2" s="15">
        <f>COLUMN()-2</f>
        <v/>
      </c>
      <c r="L2" s="15">
        <f>COLUMN()-2</f>
        <v/>
      </c>
      <c r="M2" s="15">
        <f>COLUMN()-2</f>
        <v/>
      </c>
      <c r="N2" s="15">
        <f>COLUMN()-2</f>
        <v/>
      </c>
      <c r="O2" s="15">
        <f>COLUMN()-2</f>
        <v/>
      </c>
      <c r="P2" s="15">
        <f>COLUMN()-2</f>
        <v/>
      </c>
      <c r="Q2" s="15">
        <f>COLUMN()-2</f>
        <v/>
      </c>
      <c r="R2" s="15">
        <f>COLUMN()-2</f>
        <v/>
      </c>
      <c r="S2" s="15">
        <f>COLUMN()-2</f>
        <v/>
      </c>
      <c r="T2" s="15">
        <f>COLUMN()-2</f>
        <v/>
      </c>
      <c r="U2" s="15">
        <f>COLUMN()-2</f>
        <v/>
      </c>
      <c r="V2" s="15">
        <f>COLUMN()-2</f>
        <v/>
      </c>
      <c r="W2" s="15">
        <f>COLUMN()-2</f>
        <v/>
      </c>
      <c r="X2" s="15">
        <f>COLUMN()-2</f>
        <v/>
      </c>
      <c r="Y2" s="15">
        <f>COLUMN()-2</f>
        <v/>
      </c>
      <c r="Z2" s="15">
        <f>COLUMN()-2</f>
        <v/>
      </c>
      <c r="AA2" s="15">
        <f>COLUMN()-2</f>
        <v/>
      </c>
      <c r="AB2" s="15">
        <f>COLUMN()-2</f>
        <v/>
      </c>
      <c r="AC2" s="15">
        <f>COLUMN()-2</f>
        <v/>
      </c>
      <c r="AD2" s="15">
        <f>COLUMN()-2</f>
        <v/>
      </c>
      <c r="AE2" s="15">
        <f>COLUMN()-2</f>
        <v/>
      </c>
      <c r="AF2" s="15">
        <f>COLUMN()-2</f>
        <v/>
      </c>
      <c r="AG2" s="15">
        <f>COLUMN()-2</f>
        <v/>
      </c>
      <c r="AH2" s="15">
        <f>COLUMN()-2</f>
        <v/>
      </c>
      <c r="AI2" s="15">
        <f>COLUMN()-2</f>
        <v/>
      </c>
      <c r="AJ2" s="15">
        <f>COLUMN()-2</f>
        <v/>
      </c>
      <c r="AK2" s="15">
        <f>COLUMN()-2</f>
        <v/>
      </c>
      <c r="AL2" s="15">
        <f>COLUMN()-2</f>
        <v/>
      </c>
      <c r="AM2" s="15">
        <f>COLUMN()-2</f>
        <v/>
      </c>
      <c r="AN2" s="15">
        <f>COLUMN()-2</f>
        <v/>
      </c>
      <c r="AO2" s="15">
        <f>COLUMN()-2</f>
        <v/>
      </c>
      <c r="AP2" s="15">
        <f>COLUMN()-2</f>
        <v/>
      </c>
      <c r="AQ2" s="15">
        <f>COLUMN()-2</f>
        <v/>
      </c>
      <c r="AR2" s="15">
        <f>COLUMN()-2</f>
        <v/>
      </c>
      <c r="AS2" s="15">
        <f>COLUMN()-2</f>
        <v/>
      </c>
      <c r="AT2" s="15">
        <f>COLUMN()-2</f>
        <v/>
      </c>
      <c r="AU2" s="15">
        <f>COLUMN()-2</f>
        <v/>
      </c>
      <c r="AV2" s="15">
        <f>COLUMN()-2</f>
        <v/>
      </c>
      <c r="AW2" s="15">
        <f>COLUMN()-2</f>
        <v/>
      </c>
      <c r="AX2" s="15">
        <f>COLUMN()-2</f>
        <v/>
      </c>
      <c r="AY2" s="15">
        <f>COLUMN()-2</f>
        <v/>
      </c>
      <c r="AZ2" s="15">
        <f>COLUMN()-2</f>
        <v/>
      </c>
      <c r="BA2" s="15">
        <f>COLUMN()-2</f>
        <v/>
      </c>
      <c r="BB2" s="15">
        <f>COLUMN()-2</f>
        <v/>
      </c>
      <c r="BC2" s="15">
        <f>COLUMN()-2</f>
        <v/>
      </c>
      <c r="BD2" s="15">
        <f>COLUMN()-2</f>
        <v/>
      </c>
      <c r="BE2" s="15">
        <f>COLUMN()-2</f>
        <v/>
      </c>
      <c r="BF2" s="15">
        <f>COLUMN()-2</f>
        <v/>
      </c>
      <c r="BG2" s="15">
        <f>COLUMN()-2</f>
        <v/>
      </c>
      <c r="BH2" s="15">
        <f>COLUMN()-2</f>
        <v/>
      </c>
      <c r="BI2" s="15">
        <f>COLUMN()-2</f>
        <v/>
      </c>
      <c r="BJ2" s="15">
        <f>COLUMN()-2</f>
        <v/>
      </c>
      <c r="BK2" s="15">
        <f>COLUMN()-2</f>
        <v/>
      </c>
      <c r="BL2" s="15">
        <f>COLUMN()-2</f>
        <v/>
      </c>
      <c r="BM2" s="15">
        <f>COLUMN()-2</f>
        <v/>
      </c>
      <c r="BN2" s="15">
        <f>COLUMN()-2</f>
        <v/>
      </c>
      <c r="BO2" s="15">
        <f>COLUMN()-2</f>
        <v/>
      </c>
      <c r="BP2" s="15">
        <f>COLUMN()-2</f>
        <v/>
      </c>
      <c r="BQ2" s="15">
        <f>COLUMN()-2</f>
        <v/>
      </c>
      <c r="BR2" s="15">
        <f>COLUMN()-2</f>
        <v/>
      </c>
      <c r="BS2" s="15">
        <f>COLUMN()-2</f>
        <v/>
      </c>
      <c r="BT2" s="15">
        <f>COLUMN()-2</f>
        <v/>
      </c>
      <c r="BU2" s="15">
        <f>COLUMN()-2</f>
        <v/>
      </c>
      <c r="BV2" s="15">
        <f>COLUMN()-2</f>
        <v/>
      </c>
      <c r="BW2" s="15">
        <f>COLUMN()-2</f>
        <v/>
      </c>
      <c r="BX2" s="15">
        <f>COLUMN()-2</f>
        <v/>
      </c>
      <c r="BY2" s="15">
        <f>COLUMN()-2</f>
        <v/>
      </c>
      <c r="BZ2" s="15">
        <f>COLUMN()-2</f>
        <v/>
      </c>
      <c r="CA2" s="15">
        <f>COLUMN()-2</f>
        <v/>
      </c>
      <c r="CB2" s="15">
        <f>COLUMN()-2</f>
        <v/>
      </c>
      <c r="CC2" s="15">
        <f>COLUMN()-2</f>
        <v/>
      </c>
      <c r="CD2" s="15">
        <f>COLUMN()-2</f>
        <v/>
      </c>
      <c r="CE2" s="15">
        <f>COLUMN()-2</f>
        <v/>
      </c>
      <c r="CF2" s="15">
        <f>COLUMN()-2</f>
        <v/>
      </c>
      <c r="CG2" s="15">
        <f>COLUMN()-2</f>
        <v/>
      </c>
      <c r="CH2" s="15">
        <f>COLUMN()-2</f>
        <v/>
      </c>
    </row>
    <row r="3">
      <c r="A3" s="3" t="inlineStr">
        <is>
          <t>Date</t>
        </is>
      </c>
      <c r="B3" t="inlineStr">
        <is>
          <t>month-end</t>
        </is>
      </c>
      <c r="C3" s="11">
        <f>EOMONTH(DATE(2026,1,1),C2-1)</f>
        <v/>
      </c>
      <c r="D3" s="11">
        <f>EOMONTH(DATE(2026,1,1),D2-1)</f>
        <v/>
      </c>
      <c r="E3" s="11">
        <f>EOMONTH(DATE(2026,1,1),E2-1)</f>
        <v/>
      </c>
      <c r="F3" s="11">
        <f>EOMONTH(DATE(2026,1,1),F2-1)</f>
        <v/>
      </c>
      <c r="G3" s="11">
        <f>EOMONTH(DATE(2026,1,1),G2-1)</f>
        <v/>
      </c>
      <c r="H3" s="11">
        <f>EOMONTH(DATE(2026,1,1),H2-1)</f>
        <v/>
      </c>
      <c r="I3" s="11">
        <f>EOMONTH(DATE(2026,1,1),I2-1)</f>
        <v/>
      </c>
      <c r="J3" s="11">
        <f>EOMONTH(DATE(2026,1,1),J2-1)</f>
        <v/>
      </c>
      <c r="K3" s="11">
        <f>EOMONTH(DATE(2026,1,1),K2-1)</f>
        <v/>
      </c>
      <c r="L3" s="11">
        <f>EOMONTH(DATE(2026,1,1),L2-1)</f>
        <v/>
      </c>
      <c r="M3" s="11">
        <f>EOMONTH(DATE(2026,1,1),M2-1)</f>
        <v/>
      </c>
      <c r="N3" s="11">
        <f>EOMONTH(DATE(2026,1,1),N2-1)</f>
        <v/>
      </c>
      <c r="O3" s="11">
        <f>EOMONTH(DATE(2026,1,1),O2-1)</f>
        <v/>
      </c>
      <c r="P3" s="11">
        <f>EOMONTH(DATE(2026,1,1),P2-1)</f>
        <v/>
      </c>
      <c r="Q3" s="11">
        <f>EOMONTH(DATE(2026,1,1),Q2-1)</f>
        <v/>
      </c>
      <c r="R3" s="11">
        <f>EOMONTH(DATE(2026,1,1),R2-1)</f>
        <v/>
      </c>
      <c r="S3" s="11">
        <f>EOMONTH(DATE(2026,1,1),S2-1)</f>
        <v/>
      </c>
      <c r="T3" s="11">
        <f>EOMONTH(DATE(2026,1,1),T2-1)</f>
        <v/>
      </c>
      <c r="U3" s="11">
        <f>EOMONTH(DATE(2026,1,1),U2-1)</f>
        <v/>
      </c>
      <c r="V3" s="11">
        <f>EOMONTH(DATE(2026,1,1),V2-1)</f>
        <v/>
      </c>
      <c r="W3" s="11">
        <f>EOMONTH(DATE(2026,1,1),W2-1)</f>
        <v/>
      </c>
      <c r="X3" s="11">
        <f>EOMONTH(DATE(2026,1,1),X2-1)</f>
        <v/>
      </c>
      <c r="Y3" s="11">
        <f>EOMONTH(DATE(2026,1,1),Y2-1)</f>
        <v/>
      </c>
      <c r="Z3" s="11">
        <f>EOMONTH(DATE(2026,1,1),Z2-1)</f>
        <v/>
      </c>
      <c r="AA3" s="11">
        <f>EOMONTH(DATE(2026,1,1),AA2-1)</f>
        <v/>
      </c>
      <c r="AB3" s="11">
        <f>EOMONTH(DATE(2026,1,1),AB2-1)</f>
        <v/>
      </c>
      <c r="AC3" s="11">
        <f>EOMONTH(DATE(2026,1,1),AC2-1)</f>
        <v/>
      </c>
      <c r="AD3" s="11">
        <f>EOMONTH(DATE(2026,1,1),AD2-1)</f>
        <v/>
      </c>
      <c r="AE3" s="11">
        <f>EOMONTH(DATE(2026,1,1),AE2-1)</f>
        <v/>
      </c>
      <c r="AF3" s="11">
        <f>EOMONTH(DATE(2026,1,1),AF2-1)</f>
        <v/>
      </c>
      <c r="AG3" s="11">
        <f>EOMONTH(DATE(2026,1,1),AG2-1)</f>
        <v/>
      </c>
      <c r="AH3" s="11">
        <f>EOMONTH(DATE(2026,1,1),AH2-1)</f>
        <v/>
      </c>
      <c r="AI3" s="11">
        <f>EOMONTH(DATE(2026,1,1),AI2-1)</f>
        <v/>
      </c>
      <c r="AJ3" s="11">
        <f>EOMONTH(DATE(2026,1,1),AJ2-1)</f>
        <v/>
      </c>
      <c r="AK3" s="11">
        <f>EOMONTH(DATE(2026,1,1),AK2-1)</f>
        <v/>
      </c>
      <c r="AL3" s="11">
        <f>EOMONTH(DATE(2026,1,1),AL2-1)</f>
        <v/>
      </c>
      <c r="AM3" s="11">
        <f>EOMONTH(DATE(2026,1,1),AM2-1)</f>
        <v/>
      </c>
      <c r="AN3" s="11">
        <f>EOMONTH(DATE(2026,1,1),AN2-1)</f>
        <v/>
      </c>
      <c r="AO3" s="11">
        <f>EOMONTH(DATE(2026,1,1),AO2-1)</f>
        <v/>
      </c>
      <c r="AP3" s="11">
        <f>EOMONTH(DATE(2026,1,1),AP2-1)</f>
        <v/>
      </c>
      <c r="AQ3" s="11">
        <f>EOMONTH(DATE(2026,1,1),AQ2-1)</f>
        <v/>
      </c>
      <c r="AR3" s="11">
        <f>EOMONTH(DATE(2026,1,1),AR2-1)</f>
        <v/>
      </c>
      <c r="AS3" s="11">
        <f>EOMONTH(DATE(2026,1,1),AS2-1)</f>
        <v/>
      </c>
      <c r="AT3" s="11">
        <f>EOMONTH(DATE(2026,1,1),AT2-1)</f>
        <v/>
      </c>
      <c r="AU3" s="11">
        <f>EOMONTH(DATE(2026,1,1),AU2-1)</f>
        <v/>
      </c>
      <c r="AV3" s="11">
        <f>EOMONTH(DATE(2026,1,1),AV2-1)</f>
        <v/>
      </c>
      <c r="AW3" s="11">
        <f>EOMONTH(DATE(2026,1,1),AW2-1)</f>
        <v/>
      </c>
      <c r="AX3" s="11">
        <f>EOMONTH(DATE(2026,1,1),AX2-1)</f>
        <v/>
      </c>
      <c r="AY3" s="11">
        <f>EOMONTH(DATE(2026,1,1),AY2-1)</f>
        <v/>
      </c>
      <c r="AZ3" s="11">
        <f>EOMONTH(DATE(2026,1,1),AZ2-1)</f>
        <v/>
      </c>
      <c r="BA3" s="11">
        <f>EOMONTH(DATE(2026,1,1),BA2-1)</f>
        <v/>
      </c>
      <c r="BB3" s="11">
        <f>EOMONTH(DATE(2026,1,1),BB2-1)</f>
        <v/>
      </c>
      <c r="BC3" s="11">
        <f>EOMONTH(DATE(2026,1,1),BC2-1)</f>
        <v/>
      </c>
      <c r="BD3" s="11">
        <f>EOMONTH(DATE(2026,1,1),BD2-1)</f>
        <v/>
      </c>
      <c r="BE3" s="11">
        <f>EOMONTH(DATE(2026,1,1),BE2-1)</f>
        <v/>
      </c>
      <c r="BF3" s="11">
        <f>EOMONTH(DATE(2026,1,1),BF2-1)</f>
        <v/>
      </c>
      <c r="BG3" s="11">
        <f>EOMONTH(DATE(2026,1,1),BG2-1)</f>
        <v/>
      </c>
      <c r="BH3" s="11">
        <f>EOMONTH(DATE(2026,1,1),BH2-1)</f>
        <v/>
      </c>
      <c r="BI3" s="11">
        <f>EOMONTH(DATE(2026,1,1),BI2-1)</f>
        <v/>
      </c>
      <c r="BJ3" s="11">
        <f>EOMONTH(DATE(2026,1,1),BJ2-1)</f>
        <v/>
      </c>
      <c r="BK3" s="11">
        <f>EOMONTH(DATE(2026,1,1),BK2-1)</f>
        <v/>
      </c>
      <c r="BL3" s="11">
        <f>EOMONTH(DATE(2026,1,1),BL2-1)</f>
        <v/>
      </c>
      <c r="BM3" s="11">
        <f>EOMONTH(DATE(2026,1,1),BM2-1)</f>
        <v/>
      </c>
      <c r="BN3" s="11">
        <f>EOMONTH(DATE(2026,1,1),BN2-1)</f>
        <v/>
      </c>
      <c r="BO3" s="11">
        <f>EOMONTH(DATE(2026,1,1),BO2-1)</f>
        <v/>
      </c>
      <c r="BP3" s="11">
        <f>EOMONTH(DATE(2026,1,1),BP2-1)</f>
        <v/>
      </c>
      <c r="BQ3" s="11">
        <f>EOMONTH(DATE(2026,1,1),BQ2-1)</f>
        <v/>
      </c>
      <c r="BR3" s="11">
        <f>EOMONTH(DATE(2026,1,1),BR2-1)</f>
        <v/>
      </c>
      <c r="BS3" s="11">
        <f>EOMONTH(DATE(2026,1,1),BS2-1)</f>
        <v/>
      </c>
      <c r="BT3" s="11">
        <f>EOMONTH(DATE(2026,1,1),BT2-1)</f>
        <v/>
      </c>
      <c r="BU3" s="11">
        <f>EOMONTH(DATE(2026,1,1),BU2-1)</f>
        <v/>
      </c>
      <c r="BV3" s="11">
        <f>EOMONTH(DATE(2026,1,1),BV2-1)</f>
        <v/>
      </c>
      <c r="BW3" s="11">
        <f>EOMONTH(DATE(2026,1,1),BW2-1)</f>
        <v/>
      </c>
      <c r="BX3" s="11">
        <f>EOMONTH(DATE(2026,1,1),BX2-1)</f>
        <v/>
      </c>
      <c r="BY3" s="11">
        <f>EOMONTH(DATE(2026,1,1),BY2-1)</f>
        <v/>
      </c>
      <c r="BZ3" s="11">
        <f>EOMONTH(DATE(2026,1,1),BZ2-1)</f>
        <v/>
      </c>
      <c r="CA3" s="11">
        <f>EOMONTH(DATE(2026,1,1),CA2-1)</f>
        <v/>
      </c>
      <c r="CB3" s="11">
        <f>EOMONTH(DATE(2026,1,1),CB2-1)</f>
        <v/>
      </c>
      <c r="CC3" s="11">
        <f>EOMONTH(DATE(2026,1,1),CC2-1)</f>
        <v/>
      </c>
      <c r="CD3" s="11">
        <f>EOMONTH(DATE(2026,1,1),CD2-1)</f>
        <v/>
      </c>
      <c r="CE3" s="11">
        <f>EOMONTH(DATE(2026,1,1),CE2-1)</f>
        <v/>
      </c>
      <c r="CF3" s="11">
        <f>EOMONTH(DATE(2026,1,1),CF2-1)</f>
        <v/>
      </c>
      <c r="CG3" s="11">
        <f>EOMONTH(DATE(2026,1,1),CG2-1)</f>
        <v/>
      </c>
      <c r="CH3" s="11">
        <f>EOMONTH(DATE(2026,1,1),CH2-1)</f>
        <v/>
      </c>
    </row>
    <row r="4">
      <c r="A4" s="3" t="inlineStr">
        <is>
          <t>Distributable cash</t>
        </is>
      </c>
      <c r="B4" s="4" t="inlineStr">
        <is>
          <t>$</t>
        </is>
      </c>
      <c r="C4" s="12">
        <f>ProjectCF!C12</f>
        <v/>
      </c>
      <c r="D4" s="12">
        <f>ProjectCF!D12</f>
        <v/>
      </c>
      <c r="E4" s="12">
        <f>ProjectCF!E12</f>
        <v/>
      </c>
      <c r="F4" s="12">
        <f>ProjectCF!F12</f>
        <v/>
      </c>
      <c r="G4" s="12">
        <f>ProjectCF!G12</f>
        <v/>
      </c>
      <c r="H4" s="12">
        <f>ProjectCF!H12</f>
        <v/>
      </c>
      <c r="I4" s="12">
        <f>ProjectCF!I12</f>
        <v/>
      </c>
      <c r="J4" s="12">
        <f>ProjectCF!J12</f>
        <v/>
      </c>
      <c r="K4" s="12">
        <f>ProjectCF!K12</f>
        <v/>
      </c>
      <c r="L4" s="12">
        <f>ProjectCF!L12</f>
        <v/>
      </c>
      <c r="M4" s="12">
        <f>ProjectCF!M12</f>
        <v/>
      </c>
      <c r="N4" s="12">
        <f>ProjectCF!N12</f>
        <v/>
      </c>
      <c r="O4" s="12">
        <f>ProjectCF!O12</f>
        <v/>
      </c>
      <c r="P4" s="12">
        <f>ProjectCF!P12</f>
        <v/>
      </c>
      <c r="Q4" s="12">
        <f>ProjectCF!Q12</f>
        <v/>
      </c>
      <c r="R4" s="12">
        <f>ProjectCF!R12</f>
        <v/>
      </c>
      <c r="S4" s="12">
        <f>ProjectCF!S12</f>
        <v/>
      </c>
      <c r="T4" s="12">
        <f>ProjectCF!T12</f>
        <v/>
      </c>
      <c r="U4" s="12">
        <f>ProjectCF!U12</f>
        <v/>
      </c>
      <c r="V4" s="12">
        <f>ProjectCF!V12</f>
        <v/>
      </c>
      <c r="W4" s="12">
        <f>ProjectCF!W12</f>
        <v/>
      </c>
      <c r="X4" s="12">
        <f>ProjectCF!X12</f>
        <v/>
      </c>
      <c r="Y4" s="12">
        <f>ProjectCF!Y12</f>
        <v/>
      </c>
      <c r="Z4" s="12">
        <f>ProjectCF!Z12</f>
        <v/>
      </c>
      <c r="AA4" s="12">
        <f>ProjectCF!AA12</f>
        <v/>
      </c>
      <c r="AB4" s="12">
        <f>ProjectCF!AB12</f>
        <v/>
      </c>
      <c r="AC4" s="12">
        <f>ProjectCF!AC12</f>
        <v/>
      </c>
      <c r="AD4" s="12">
        <f>ProjectCF!AD12</f>
        <v/>
      </c>
      <c r="AE4" s="12">
        <f>ProjectCF!AE12</f>
        <v/>
      </c>
      <c r="AF4" s="12">
        <f>ProjectCF!AF12</f>
        <v/>
      </c>
      <c r="AG4" s="12">
        <f>ProjectCF!AG12</f>
        <v/>
      </c>
      <c r="AH4" s="12">
        <f>ProjectCF!AH12</f>
        <v/>
      </c>
      <c r="AI4" s="12">
        <f>ProjectCF!AI12</f>
        <v/>
      </c>
      <c r="AJ4" s="12">
        <f>ProjectCF!AJ12</f>
        <v/>
      </c>
      <c r="AK4" s="12">
        <f>ProjectCF!AK12</f>
        <v/>
      </c>
      <c r="AL4" s="12">
        <f>ProjectCF!AL12</f>
        <v/>
      </c>
      <c r="AM4" s="12">
        <f>ProjectCF!AM12</f>
        <v/>
      </c>
      <c r="AN4" s="12">
        <f>ProjectCF!AN12</f>
        <v/>
      </c>
      <c r="AO4" s="12">
        <f>ProjectCF!AO12</f>
        <v/>
      </c>
      <c r="AP4" s="12">
        <f>ProjectCF!AP12</f>
        <v/>
      </c>
      <c r="AQ4" s="12">
        <f>ProjectCF!AQ12</f>
        <v/>
      </c>
      <c r="AR4" s="12">
        <f>ProjectCF!AR12</f>
        <v/>
      </c>
      <c r="AS4" s="12">
        <f>ProjectCF!AS12</f>
        <v/>
      </c>
      <c r="AT4" s="12">
        <f>ProjectCF!AT12</f>
        <v/>
      </c>
      <c r="AU4" s="12">
        <f>ProjectCF!AU12</f>
        <v/>
      </c>
      <c r="AV4" s="12">
        <f>ProjectCF!AV12</f>
        <v/>
      </c>
      <c r="AW4" s="12">
        <f>ProjectCF!AW12</f>
        <v/>
      </c>
      <c r="AX4" s="12">
        <f>ProjectCF!AX12</f>
        <v/>
      </c>
      <c r="AY4" s="12">
        <f>ProjectCF!AY12</f>
        <v/>
      </c>
      <c r="AZ4" s="12">
        <f>ProjectCF!AZ12</f>
        <v/>
      </c>
      <c r="BA4" s="12">
        <f>ProjectCF!BA12</f>
        <v/>
      </c>
      <c r="BB4" s="12">
        <f>ProjectCF!BB12</f>
        <v/>
      </c>
      <c r="BC4" s="12">
        <f>ProjectCF!BC12</f>
        <v/>
      </c>
      <c r="BD4" s="12">
        <f>ProjectCF!BD12</f>
        <v/>
      </c>
      <c r="BE4" s="12">
        <f>ProjectCF!BE12</f>
        <v/>
      </c>
      <c r="BF4" s="12">
        <f>ProjectCF!BF12</f>
        <v/>
      </c>
      <c r="BG4" s="12">
        <f>ProjectCF!BG12</f>
        <v/>
      </c>
      <c r="BH4" s="12">
        <f>ProjectCF!BH12</f>
        <v/>
      </c>
      <c r="BI4" s="12">
        <f>ProjectCF!BI12</f>
        <v/>
      </c>
      <c r="BJ4" s="12">
        <f>ProjectCF!BJ12</f>
        <v/>
      </c>
      <c r="BK4" s="12">
        <f>ProjectCF!BK12</f>
        <v/>
      </c>
      <c r="BL4" s="12">
        <f>ProjectCF!BL12</f>
        <v/>
      </c>
      <c r="BM4" s="12">
        <f>ProjectCF!BM12</f>
        <v/>
      </c>
      <c r="BN4" s="12">
        <f>ProjectCF!BN12</f>
        <v/>
      </c>
      <c r="BO4" s="12">
        <f>ProjectCF!BO12</f>
        <v/>
      </c>
      <c r="BP4" s="12">
        <f>ProjectCF!BP12</f>
        <v/>
      </c>
      <c r="BQ4" s="12">
        <f>ProjectCF!BQ12</f>
        <v/>
      </c>
      <c r="BR4" s="12">
        <f>ProjectCF!BR12</f>
        <v/>
      </c>
      <c r="BS4" s="12">
        <f>ProjectCF!BS12</f>
        <v/>
      </c>
      <c r="BT4" s="12">
        <f>ProjectCF!BT12</f>
        <v/>
      </c>
      <c r="BU4" s="12">
        <f>ProjectCF!BU12</f>
        <v/>
      </c>
      <c r="BV4" s="12">
        <f>ProjectCF!BV12</f>
        <v/>
      </c>
      <c r="BW4" s="12">
        <f>ProjectCF!BW12</f>
        <v/>
      </c>
      <c r="BX4" s="12">
        <f>ProjectCF!BX12</f>
        <v/>
      </c>
      <c r="BY4" s="12">
        <f>ProjectCF!BY12</f>
        <v/>
      </c>
      <c r="BZ4" s="12">
        <f>ProjectCF!BZ12</f>
        <v/>
      </c>
      <c r="CA4" s="12">
        <f>ProjectCF!CA12</f>
        <v/>
      </c>
      <c r="CB4" s="12">
        <f>ProjectCF!CB12</f>
        <v/>
      </c>
      <c r="CC4" s="12">
        <f>ProjectCF!CC12</f>
        <v/>
      </c>
      <c r="CD4" s="12">
        <f>ProjectCF!CD12</f>
        <v/>
      </c>
      <c r="CE4" s="12">
        <f>ProjectCF!CE12</f>
        <v/>
      </c>
      <c r="CF4" s="12">
        <f>ProjectCF!CF12</f>
        <v/>
      </c>
      <c r="CG4" s="12">
        <f>ProjectCF!CG12</f>
        <v/>
      </c>
      <c r="CH4" s="12">
        <f>ProjectCF!CH12</f>
        <v/>
      </c>
    </row>
    <row r="5">
      <c r="A5" s="3" t="inlineStr">
        <is>
          <t>Unreturned LP capital opening</t>
        </is>
      </c>
      <c r="B5" s="4" t="inlineStr">
        <is>
          <t>$</t>
        </is>
      </c>
      <c r="C5" s="12">
        <f>SourcesUses!$C$31</f>
        <v/>
      </c>
      <c r="D5" s="12">
        <f>C13</f>
        <v/>
      </c>
      <c r="E5" s="12">
        <f>D13</f>
        <v/>
      </c>
      <c r="F5" s="12">
        <f>E13</f>
        <v/>
      </c>
      <c r="G5" s="12">
        <f>F13</f>
        <v/>
      </c>
      <c r="H5" s="12">
        <f>G13</f>
        <v/>
      </c>
      <c r="I5" s="12">
        <f>H13</f>
        <v/>
      </c>
      <c r="J5" s="12">
        <f>I13</f>
        <v/>
      </c>
      <c r="K5" s="12">
        <f>J13</f>
        <v/>
      </c>
      <c r="L5" s="12">
        <f>K13</f>
        <v/>
      </c>
      <c r="M5" s="12">
        <f>L13</f>
        <v/>
      </c>
      <c r="N5" s="12">
        <f>M13</f>
        <v/>
      </c>
      <c r="O5" s="12">
        <f>N13</f>
        <v/>
      </c>
      <c r="P5" s="12">
        <f>O13</f>
        <v/>
      </c>
      <c r="Q5" s="12">
        <f>P13</f>
        <v/>
      </c>
      <c r="R5" s="12">
        <f>Q13</f>
        <v/>
      </c>
      <c r="S5" s="12">
        <f>R13</f>
        <v/>
      </c>
      <c r="T5" s="12">
        <f>S13</f>
        <v/>
      </c>
      <c r="U5" s="12">
        <f>T13</f>
        <v/>
      </c>
      <c r="V5" s="12">
        <f>U13</f>
        <v/>
      </c>
      <c r="W5" s="12">
        <f>V13</f>
        <v/>
      </c>
      <c r="X5" s="12">
        <f>W13</f>
        <v/>
      </c>
      <c r="Y5" s="12">
        <f>X13</f>
        <v/>
      </c>
      <c r="Z5" s="12">
        <f>Y13</f>
        <v/>
      </c>
      <c r="AA5" s="12">
        <f>Z13</f>
        <v/>
      </c>
      <c r="AB5" s="12">
        <f>AA13</f>
        <v/>
      </c>
      <c r="AC5" s="12">
        <f>AB13</f>
        <v/>
      </c>
      <c r="AD5" s="12">
        <f>AC13</f>
        <v/>
      </c>
      <c r="AE5" s="12">
        <f>AD13</f>
        <v/>
      </c>
      <c r="AF5" s="12">
        <f>AE13</f>
        <v/>
      </c>
      <c r="AG5" s="12">
        <f>AF13</f>
        <v/>
      </c>
      <c r="AH5" s="12">
        <f>AG13</f>
        <v/>
      </c>
      <c r="AI5" s="12">
        <f>AH13</f>
        <v/>
      </c>
      <c r="AJ5" s="12">
        <f>AI13</f>
        <v/>
      </c>
      <c r="AK5" s="12">
        <f>AJ13</f>
        <v/>
      </c>
      <c r="AL5" s="12">
        <f>AK13</f>
        <v/>
      </c>
      <c r="AM5" s="12">
        <f>AL13</f>
        <v/>
      </c>
      <c r="AN5" s="12">
        <f>AM13</f>
        <v/>
      </c>
      <c r="AO5" s="12">
        <f>AN13</f>
        <v/>
      </c>
      <c r="AP5" s="12">
        <f>AO13</f>
        <v/>
      </c>
      <c r="AQ5" s="12">
        <f>AP13</f>
        <v/>
      </c>
      <c r="AR5" s="12">
        <f>AQ13</f>
        <v/>
      </c>
      <c r="AS5" s="12">
        <f>AR13</f>
        <v/>
      </c>
      <c r="AT5" s="12">
        <f>AS13</f>
        <v/>
      </c>
      <c r="AU5" s="12">
        <f>AT13</f>
        <v/>
      </c>
      <c r="AV5" s="12">
        <f>AU13</f>
        <v/>
      </c>
      <c r="AW5" s="12">
        <f>AV13</f>
        <v/>
      </c>
      <c r="AX5" s="12">
        <f>AW13</f>
        <v/>
      </c>
      <c r="AY5" s="12">
        <f>AX13</f>
        <v/>
      </c>
      <c r="AZ5" s="12">
        <f>AY13</f>
        <v/>
      </c>
      <c r="BA5" s="12">
        <f>AZ13</f>
        <v/>
      </c>
      <c r="BB5" s="12">
        <f>BA13</f>
        <v/>
      </c>
      <c r="BC5" s="12">
        <f>BB13</f>
        <v/>
      </c>
      <c r="BD5" s="12">
        <f>BC13</f>
        <v/>
      </c>
      <c r="BE5" s="12">
        <f>BD13</f>
        <v/>
      </c>
      <c r="BF5" s="12">
        <f>BE13</f>
        <v/>
      </c>
      <c r="BG5" s="12">
        <f>BF13</f>
        <v/>
      </c>
      <c r="BH5" s="12">
        <f>BG13</f>
        <v/>
      </c>
      <c r="BI5" s="12">
        <f>BH13</f>
        <v/>
      </c>
      <c r="BJ5" s="12">
        <f>BI13</f>
        <v/>
      </c>
      <c r="BK5" s="12">
        <f>BJ13</f>
        <v/>
      </c>
      <c r="BL5" s="12">
        <f>BK13</f>
        <v/>
      </c>
      <c r="BM5" s="12">
        <f>BL13</f>
        <v/>
      </c>
      <c r="BN5" s="12">
        <f>BM13</f>
        <v/>
      </c>
      <c r="BO5" s="12">
        <f>BN13</f>
        <v/>
      </c>
      <c r="BP5" s="12">
        <f>BO13</f>
        <v/>
      </c>
      <c r="BQ5" s="12">
        <f>BP13</f>
        <v/>
      </c>
      <c r="BR5" s="12">
        <f>BQ13</f>
        <v/>
      </c>
      <c r="BS5" s="12">
        <f>BR13</f>
        <v/>
      </c>
      <c r="BT5" s="12">
        <f>BS13</f>
        <v/>
      </c>
      <c r="BU5" s="12">
        <f>BT13</f>
        <v/>
      </c>
      <c r="BV5" s="12">
        <f>BU13</f>
        <v/>
      </c>
      <c r="BW5" s="12">
        <f>BV13</f>
        <v/>
      </c>
      <c r="BX5" s="12">
        <f>BW13</f>
        <v/>
      </c>
      <c r="BY5" s="12">
        <f>BX13</f>
        <v/>
      </c>
      <c r="BZ5" s="12">
        <f>BY13</f>
        <v/>
      </c>
      <c r="CA5" s="12">
        <f>BZ13</f>
        <v/>
      </c>
      <c r="CB5" s="12">
        <f>CA13</f>
        <v/>
      </c>
      <c r="CC5" s="12">
        <f>CB13</f>
        <v/>
      </c>
      <c r="CD5" s="12">
        <f>CC13</f>
        <v/>
      </c>
      <c r="CE5" s="12">
        <f>CD13</f>
        <v/>
      </c>
      <c r="CF5" s="12">
        <f>CE13</f>
        <v/>
      </c>
      <c r="CG5" s="12">
        <f>CF13</f>
        <v/>
      </c>
      <c r="CH5" s="12">
        <f>CG13</f>
        <v/>
      </c>
    </row>
    <row r="6">
      <c r="A6" s="3" t="inlineStr">
        <is>
          <t>Unpaid preferred opening</t>
        </is>
      </c>
      <c r="B6" s="4" t="inlineStr">
        <is>
          <t>$</t>
        </is>
      </c>
      <c r="C6" s="12">
        <f>0</f>
        <v/>
      </c>
      <c r="D6" s="12">
        <f>C14</f>
        <v/>
      </c>
      <c r="E6" s="12">
        <f>D14</f>
        <v/>
      </c>
      <c r="F6" s="12">
        <f>E14</f>
        <v/>
      </c>
      <c r="G6" s="12">
        <f>F14</f>
        <v/>
      </c>
      <c r="H6" s="12">
        <f>G14</f>
        <v/>
      </c>
      <c r="I6" s="12">
        <f>H14</f>
        <v/>
      </c>
      <c r="J6" s="12">
        <f>I14</f>
        <v/>
      </c>
      <c r="K6" s="12">
        <f>J14</f>
        <v/>
      </c>
      <c r="L6" s="12">
        <f>K14</f>
        <v/>
      </c>
      <c r="M6" s="12">
        <f>L14</f>
        <v/>
      </c>
      <c r="N6" s="12">
        <f>M14</f>
        <v/>
      </c>
      <c r="O6" s="12">
        <f>N14</f>
        <v/>
      </c>
      <c r="P6" s="12">
        <f>O14</f>
        <v/>
      </c>
      <c r="Q6" s="12">
        <f>P14</f>
        <v/>
      </c>
      <c r="R6" s="12">
        <f>Q14</f>
        <v/>
      </c>
      <c r="S6" s="12">
        <f>R14</f>
        <v/>
      </c>
      <c r="T6" s="12">
        <f>S14</f>
        <v/>
      </c>
      <c r="U6" s="12">
        <f>T14</f>
        <v/>
      </c>
      <c r="V6" s="12">
        <f>U14</f>
        <v/>
      </c>
      <c r="W6" s="12">
        <f>V14</f>
        <v/>
      </c>
      <c r="X6" s="12">
        <f>W14</f>
        <v/>
      </c>
      <c r="Y6" s="12">
        <f>X14</f>
        <v/>
      </c>
      <c r="Z6" s="12">
        <f>Y14</f>
        <v/>
      </c>
      <c r="AA6" s="12">
        <f>Z14</f>
        <v/>
      </c>
      <c r="AB6" s="12">
        <f>AA14</f>
        <v/>
      </c>
      <c r="AC6" s="12">
        <f>AB14</f>
        <v/>
      </c>
      <c r="AD6" s="12">
        <f>AC14</f>
        <v/>
      </c>
      <c r="AE6" s="12">
        <f>AD14</f>
        <v/>
      </c>
      <c r="AF6" s="12">
        <f>AE14</f>
        <v/>
      </c>
      <c r="AG6" s="12">
        <f>AF14</f>
        <v/>
      </c>
      <c r="AH6" s="12">
        <f>AG14</f>
        <v/>
      </c>
      <c r="AI6" s="12">
        <f>AH14</f>
        <v/>
      </c>
      <c r="AJ6" s="12">
        <f>AI14</f>
        <v/>
      </c>
      <c r="AK6" s="12">
        <f>AJ14</f>
        <v/>
      </c>
      <c r="AL6" s="12">
        <f>AK14</f>
        <v/>
      </c>
      <c r="AM6" s="12">
        <f>AL14</f>
        <v/>
      </c>
      <c r="AN6" s="12">
        <f>AM14</f>
        <v/>
      </c>
      <c r="AO6" s="12">
        <f>AN14</f>
        <v/>
      </c>
      <c r="AP6" s="12">
        <f>AO14</f>
        <v/>
      </c>
      <c r="AQ6" s="12">
        <f>AP14</f>
        <v/>
      </c>
      <c r="AR6" s="12">
        <f>AQ14</f>
        <v/>
      </c>
      <c r="AS6" s="12">
        <f>AR14</f>
        <v/>
      </c>
      <c r="AT6" s="12">
        <f>AS14</f>
        <v/>
      </c>
      <c r="AU6" s="12">
        <f>AT14</f>
        <v/>
      </c>
      <c r="AV6" s="12">
        <f>AU14</f>
        <v/>
      </c>
      <c r="AW6" s="12">
        <f>AV14</f>
        <v/>
      </c>
      <c r="AX6" s="12">
        <f>AW14</f>
        <v/>
      </c>
      <c r="AY6" s="12">
        <f>AX14</f>
        <v/>
      </c>
      <c r="AZ6" s="12">
        <f>AY14</f>
        <v/>
      </c>
      <c r="BA6" s="12">
        <f>AZ14</f>
        <v/>
      </c>
      <c r="BB6" s="12">
        <f>BA14</f>
        <v/>
      </c>
      <c r="BC6" s="12">
        <f>BB14</f>
        <v/>
      </c>
      <c r="BD6" s="12">
        <f>BC14</f>
        <v/>
      </c>
      <c r="BE6" s="12">
        <f>BD14</f>
        <v/>
      </c>
      <c r="BF6" s="12">
        <f>BE14</f>
        <v/>
      </c>
      <c r="BG6" s="12">
        <f>BF14</f>
        <v/>
      </c>
      <c r="BH6" s="12">
        <f>BG14</f>
        <v/>
      </c>
      <c r="BI6" s="12">
        <f>BH14</f>
        <v/>
      </c>
      <c r="BJ6" s="12">
        <f>BI14</f>
        <v/>
      </c>
      <c r="BK6" s="12">
        <f>BJ14</f>
        <v/>
      </c>
      <c r="BL6" s="12">
        <f>BK14</f>
        <v/>
      </c>
      <c r="BM6" s="12">
        <f>BL14</f>
        <v/>
      </c>
      <c r="BN6" s="12">
        <f>BM14</f>
        <v/>
      </c>
      <c r="BO6" s="12">
        <f>BN14</f>
        <v/>
      </c>
      <c r="BP6" s="12">
        <f>BO14</f>
        <v/>
      </c>
      <c r="BQ6" s="12">
        <f>BP14</f>
        <v/>
      </c>
      <c r="BR6" s="12">
        <f>BQ14</f>
        <v/>
      </c>
      <c r="BS6" s="12">
        <f>BR14</f>
        <v/>
      </c>
      <c r="BT6" s="12">
        <f>BS14</f>
        <v/>
      </c>
      <c r="BU6" s="12">
        <f>BT14</f>
        <v/>
      </c>
      <c r="BV6" s="12">
        <f>BU14</f>
        <v/>
      </c>
      <c r="BW6" s="12">
        <f>BV14</f>
        <v/>
      </c>
      <c r="BX6" s="12">
        <f>BW14</f>
        <v/>
      </c>
      <c r="BY6" s="12">
        <f>BX14</f>
        <v/>
      </c>
      <c r="BZ6" s="12">
        <f>BY14</f>
        <v/>
      </c>
      <c r="CA6" s="12">
        <f>BZ14</f>
        <v/>
      </c>
      <c r="CB6" s="12">
        <f>CA14</f>
        <v/>
      </c>
      <c r="CC6" s="12">
        <f>CB14</f>
        <v/>
      </c>
      <c r="CD6" s="12">
        <f>CC14</f>
        <v/>
      </c>
      <c r="CE6" s="12">
        <f>CD14</f>
        <v/>
      </c>
      <c r="CF6" s="12">
        <f>CE14</f>
        <v/>
      </c>
      <c r="CG6" s="12">
        <f>CF14</f>
        <v/>
      </c>
      <c r="CH6" s="12">
        <f>CG14</f>
        <v/>
      </c>
    </row>
    <row r="7">
      <c r="A7" s="3" t="inlineStr">
        <is>
          <t>Preferred accrual</t>
        </is>
      </c>
      <c r="B7" s="4" t="inlineStr">
        <is>
          <t>$</t>
        </is>
      </c>
      <c r="C7" s="12">
        <f>(C5+C6)*PREF_PCT/12</f>
        <v/>
      </c>
      <c r="D7" s="12">
        <f>(D5+D6)*PREF_PCT/12</f>
        <v/>
      </c>
      <c r="E7" s="12">
        <f>(E5+E6)*PREF_PCT/12</f>
        <v/>
      </c>
      <c r="F7" s="12">
        <f>(F5+F6)*PREF_PCT/12</f>
        <v/>
      </c>
      <c r="G7" s="12">
        <f>(G5+G6)*PREF_PCT/12</f>
        <v/>
      </c>
      <c r="H7" s="12">
        <f>(H5+H6)*PREF_PCT/12</f>
        <v/>
      </c>
      <c r="I7" s="12">
        <f>(I5+I6)*PREF_PCT/12</f>
        <v/>
      </c>
      <c r="J7" s="12">
        <f>(J5+J6)*PREF_PCT/12</f>
        <v/>
      </c>
      <c r="K7" s="12">
        <f>(K5+K6)*PREF_PCT/12</f>
        <v/>
      </c>
      <c r="L7" s="12">
        <f>(L5+L6)*PREF_PCT/12</f>
        <v/>
      </c>
      <c r="M7" s="12">
        <f>(M5+M6)*PREF_PCT/12</f>
        <v/>
      </c>
      <c r="N7" s="12">
        <f>(N5+N6)*PREF_PCT/12</f>
        <v/>
      </c>
      <c r="O7" s="12">
        <f>(O5+O6)*PREF_PCT/12</f>
        <v/>
      </c>
      <c r="P7" s="12">
        <f>(P5+P6)*PREF_PCT/12</f>
        <v/>
      </c>
      <c r="Q7" s="12">
        <f>(Q5+Q6)*PREF_PCT/12</f>
        <v/>
      </c>
      <c r="R7" s="12">
        <f>(R5+R6)*PREF_PCT/12</f>
        <v/>
      </c>
      <c r="S7" s="12">
        <f>(S5+S6)*PREF_PCT/12</f>
        <v/>
      </c>
      <c r="T7" s="12">
        <f>(T5+T6)*PREF_PCT/12</f>
        <v/>
      </c>
      <c r="U7" s="12">
        <f>(U5+U6)*PREF_PCT/12</f>
        <v/>
      </c>
      <c r="V7" s="12">
        <f>(V5+V6)*PREF_PCT/12</f>
        <v/>
      </c>
      <c r="W7" s="12">
        <f>(W5+W6)*PREF_PCT/12</f>
        <v/>
      </c>
      <c r="X7" s="12">
        <f>(X5+X6)*PREF_PCT/12</f>
        <v/>
      </c>
      <c r="Y7" s="12">
        <f>(Y5+Y6)*PREF_PCT/12</f>
        <v/>
      </c>
      <c r="Z7" s="12">
        <f>(Z5+Z6)*PREF_PCT/12</f>
        <v/>
      </c>
      <c r="AA7" s="12">
        <f>(AA5+AA6)*PREF_PCT/12</f>
        <v/>
      </c>
      <c r="AB7" s="12">
        <f>(AB5+AB6)*PREF_PCT/12</f>
        <v/>
      </c>
      <c r="AC7" s="12">
        <f>(AC5+AC6)*PREF_PCT/12</f>
        <v/>
      </c>
      <c r="AD7" s="12">
        <f>(AD5+AD6)*PREF_PCT/12</f>
        <v/>
      </c>
      <c r="AE7" s="12">
        <f>(AE5+AE6)*PREF_PCT/12</f>
        <v/>
      </c>
      <c r="AF7" s="12">
        <f>(AF5+AF6)*PREF_PCT/12</f>
        <v/>
      </c>
      <c r="AG7" s="12">
        <f>(AG5+AG6)*PREF_PCT/12</f>
        <v/>
      </c>
      <c r="AH7" s="12">
        <f>(AH5+AH6)*PREF_PCT/12</f>
        <v/>
      </c>
      <c r="AI7" s="12">
        <f>(AI5+AI6)*PREF_PCT/12</f>
        <v/>
      </c>
      <c r="AJ7" s="12">
        <f>(AJ5+AJ6)*PREF_PCT/12</f>
        <v/>
      </c>
      <c r="AK7" s="12">
        <f>(AK5+AK6)*PREF_PCT/12</f>
        <v/>
      </c>
      <c r="AL7" s="12">
        <f>(AL5+AL6)*PREF_PCT/12</f>
        <v/>
      </c>
      <c r="AM7" s="12">
        <f>(AM5+AM6)*PREF_PCT/12</f>
        <v/>
      </c>
      <c r="AN7" s="12">
        <f>(AN5+AN6)*PREF_PCT/12</f>
        <v/>
      </c>
      <c r="AO7" s="12">
        <f>(AO5+AO6)*PREF_PCT/12</f>
        <v/>
      </c>
      <c r="AP7" s="12">
        <f>(AP5+AP6)*PREF_PCT/12</f>
        <v/>
      </c>
      <c r="AQ7" s="12">
        <f>(AQ5+AQ6)*PREF_PCT/12</f>
        <v/>
      </c>
      <c r="AR7" s="12">
        <f>(AR5+AR6)*PREF_PCT/12</f>
        <v/>
      </c>
      <c r="AS7" s="12">
        <f>(AS5+AS6)*PREF_PCT/12</f>
        <v/>
      </c>
      <c r="AT7" s="12">
        <f>(AT5+AT6)*PREF_PCT/12</f>
        <v/>
      </c>
      <c r="AU7" s="12">
        <f>(AU5+AU6)*PREF_PCT/12</f>
        <v/>
      </c>
      <c r="AV7" s="12">
        <f>(AV5+AV6)*PREF_PCT/12</f>
        <v/>
      </c>
      <c r="AW7" s="12">
        <f>(AW5+AW6)*PREF_PCT/12</f>
        <v/>
      </c>
      <c r="AX7" s="12">
        <f>(AX5+AX6)*PREF_PCT/12</f>
        <v/>
      </c>
      <c r="AY7" s="12">
        <f>(AY5+AY6)*PREF_PCT/12</f>
        <v/>
      </c>
      <c r="AZ7" s="12">
        <f>(AZ5+AZ6)*PREF_PCT/12</f>
        <v/>
      </c>
      <c r="BA7" s="12">
        <f>(BA5+BA6)*PREF_PCT/12</f>
        <v/>
      </c>
      <c r="BB7" s="12">
        <f>(BB5+BB6)*PREF_PCT/12</f>
        <v/>
      </c>
      <c r="BC7" s="12">
        <f>(BC5+BC6)*PREF_PCT/12</f>
        <v/>
      </c>
      <c r="BD7" s="12">
        <f>(BD5+BD6)*PREF_PCT/12</f>
        <v/>
      </c>
      <c r="BE7" s="12">
        <f>(BE5+BE6)*PREF_PCT/12</f>
        <v/>
      </c>
      <c r="BF7" s="12">
        <f>(BF5+BF6)*PREF_PCT/12</f>
        <v/>
      </c>
      <c r="BG7" s="12">
        <f>(BG5+BG6)*PREF_PCT/12</f>
        <v/>
      </c>
      <c r="BH7" s="12">
        <f>(BH5+BH6)*PREF_PCT/12</f>
        <v/>
      </c>
      <c r="BI7" s="12">
        <f>(BI5+BI6)*PREF_PCT/12</f>
        <v/>
      </c>
      <c r="BJ7" s="12">
        <f>(BJ5+BJ6)*PREF_PCT/12</f>
        <v/>
      </c>
      <c r="BK7" s="12">
        <f>(BK5+BK6)*PREF_PCT/12</f>
        <v/>
      </c>
      <c r="BL7" s="12">
        <f>(BL5+BL6)*PREF_PCT/12</f>
        <v/>
      </c>
      <c r="BM7" s="12">
        <f>(BM5+BM6)*PREF_PCT/12</f>
        <v/>
      </c>
      <c r="BN7" s="12">
        <f>(BN5+BN6)*PREF_PCT/12</f>
        <v/>
      </c>
      <c r="BO7" s="12">
        <f>(BO5+BO6)*PREF_PCT/12</f>
        <v/>
      </c>
      <c r="BP7" s="12">
        <f>(BP5+BP6)*PREF_PCT/12</f>
        <v/>
      </c>
      <c r="BQ7" s="12">
        <f>(BQ5+BQ6)*PREF_PCT/12</f>
        <v/>
      </c>
      <c r="BR7" s="12">
        <f>(BR5+BR6)*PREF_PCT/12</f>
        <v/>
      </c>
      <c r="BS7" s="12">
        <f>(BS5+BS6)*PREF_PCT/12</f>
        <v/>
      </c>
      <c r="BT7" s="12">
        <f>(BT5+BT6)*PREF_PCT/12</f>
        <v/>
      </c>
      <c r="BU7" s="12">
        <f>(BU5+BU6)*PREF_PCT/12</f>
        <v/>
      </c>
      <c r="BV7" s="12">
        <f>(BV5+BV6)*PREF_PCT/12</f>
        <v/>
      </c>
      <c r="BW7" s="12">
        <f>(BW5+BW6)*PREF_PCT/12</f>
        <v/>
      </c>
      <c r="BX7" s="12">
        <f>(BX5+BX6)*PREF_PCT/12</f>
        <v/>
      </c>
      <c r="BY7" s="12">
        <f>(BY5+BY6)*PREF_PCT/12</f>
        <v/>
      </c>
      <c r="BZ7" s="12">
        <f>(BZ5+BZ6)*PREF_PCT/12</f>
        <v/>
      </c>
      <c r="CA7" s="12">
        <f>(CA5+CA6)*PREF_PCT/12</f>
        <v/>
      </c>
      <c r="CB7" s="12">
        <f>(CB5+CB6)*PREF_PCT/12</f>
        <v/>
      </c>
      <c r="CC7" s="12">
        <f>(CC5+CC6)*PREF_PCT/12</f>
        <v/>
      </c>
      <c r="CD7" s="12">
        <f>(CD5+CD6)*PREF_PCT/12</f>
        <v/>
      </c>
      <c r="CE7" s="12">
        <f>(CE5+CE6)*PREF_PCT/12</f>
        <v/>
      </c>
      <c r="CF7" s="12">
        <f>(CF5+CF6)*PREF_PCT/12</f>
        <v/>
      </c>
      <c r="CG7" s="12">
        <f>(CG5+CG6)*PREF_PCT/12</f>
        <v/>
      </c>
      <c r="CH7" s="12">
        <f>(CH5+CH6)*PREF_PCT/12</f>
        <v/>
      </c>
    </row>
    <row r="8">
      <c r="A8" s="3" t="inlineStr">
        <is>
          <t>Tier 1 unpaid hurdle</t>
        </is>
      </c>
      <c r="B8" s="4" t="inlineStr">
        <is>
          <t>$</t>
        </is>
      </c>
      <c r="C8" s="12">
        <f>C5+C6+C7</f>
        <v/>
      </c>
      <c r="D8" s="12">
        <f>D5+D6+D7</f>
        <v/>
      </c>
      <c r="E8" s="12">
        <f>E5+E6+E7</f>
        <v/>
      </c>
      <c r="F8" s="12">
        <f>F5+F6+F7</f>
        <v/>
      </c>
      <c r="G8" s="12">
        <f>G5+G6+G7</f>
        <v/>
      </c>
      <c r="H8" s="12">
        <f>H5+H6+H7</f>
        <v/>
      </c>
      <c r="I8" s="12">
        <f>I5+I6+I7</f>
        <v/>
      </c>
      <c r="J8" s="12">
        <f>J5+J6+J7</f>
        <v/>
      </c>
      <c r="K8" s="12">
        <f>K5+K6+K7</f>
        <v/>
      </c>
      <c r="L8" s="12">
        <f>L5+L6+L7</f>
        <v/>
      </c>
      <c r="M8" s="12">
        <f>M5+M6+M7</f>
        <v/>
      </c>
      <c r="N8" s="12">
        <f>N5+N6+N7</f>
        <v/>
      </c>
      <c r="O8" s="12">
        <f>O5+O6+O7</f>
        <v/>
      </c>
      <c r="P8" s="12">
        <f>P5+P6+P7</f>
        <v/>
      </c>
      <c r="Q8" s="12">
        <f>Q5+Q6+Q7</f>
        <v/>
      </c>
      <c r="R8" s="12">
        <f>R5+R6+R7</f>
        <v/>
      </c>
      <c r="S8" s="12">
        <f>S5+S6+S7</f>
        <v/>
      </c>
      <c r="T8" s="12">
        <f>T5+T6+T7</f>
        <v/>
      </c>
      <c r="U8" s="12">
        <f>U5+U6+U7</f>
        <v/>
      </c>
      <c r="V8" s="12">
        <f>V5+V6+V7</f>
        <v/>
      </c>
      <c r="W8" s="12">
        <f>W5+W6+W7</f>
        <v/>
      </c>
      <c r="X8" s="12">
        <f>X5+X6+X7</f>
        <v/>
      </c>
      <c r="Y8" s="12">
        <f>Y5+Y6+Y7</f>
        <v/>
      </c>
      <c r="Z8" s="12">
        <f>Z5+Z6+Z7</f>
        <v/>
      </c>
      <c r="AA8" s="12">
        <f>AA5+AA6+AA7</f>
        <v/>
      </c>
      <c r="AB8" s="12">
        <f>AB5+AB6+AB7</f>
        <v/>
      </c>
      <c r="AC8" s="12">
        <f>AC5+AC6+AC7</f>
        <v/>
      </c>
      <c r="AD8" s="12">
        <f>AD5+AD6+AD7</f>
        <v/>
      </c>
      <c r="AE8" s="12">
        <f>AE5+AE6+AE7</f>
        <v/>
      </c>
      <c r="AF8" s="12">
        <f>AF5+AF6+AF7</f>
        <v/>
      </c>
      <c r="AG8" s="12">
        <f>AG5+AG6+AG7</f>
        <v/>
      </c>
      <c r="AH8" s="12">
        <f>AH5+AH6+AH7</f>
        <v/>
      </c>
      <c r="AI8" s="12">
        <f>AI5+AI6+AI7</f>
        <v/>
      </c>
      <c r="AJ8" s="12">
        <f>AJ5+AJ6+AJ7</f>
        <v/>
      </c>
      <c r="AK8" s="12">
        <f>AK5+AK6+AK7</f>
        <v/>
      </c>
      <c r="AL8" s="12">
        <f>AL5+AL6+AL7</f>
        <v/>
      </c>
      <c r="AM8" s="12">
        <f>AM5+AM6+AM7</f>
        <v/>
      </c>
      <c r="AN8" s="12">
        <f>AN5+AN6+AN7</f>
        <v/>
      </c>
      <c r="AO8" s="12">
        <f>AO5+AO6+AO7</f>
        <v/>
      </c>
      <c r="AP8" s="12">
        <f>AP5+AP6+AP7</f>
        <v/>
      </c>
      <c r="AQ8" s="12">
        <f>AQ5+AQ6+AQ7</f>
        <v/>
      </c>
      <c r="AR8" s="12">
        <f>AR5+AR6+AR7</f>
        <v/>
      </c>
      <c r="AS8" s="12">
        <f>AS5+AS6+AS7</f>
        <v/>
      </c>
      <c r="AT8" s="12">
        <f>AT5+AT6+AT7</f>
        <v/>
      </c>
      <c r="AU8" s="12">
        <f>AU5+AU6+AU7</f>
        <v/>
      </c>
      <c r="AV8" s="12">
        <f>AV5+AV6+AV7</f>
        <v/>
      </c>
      <c r="AW8" s="12">
        <f>AW5+AW6+AW7</f>
        <v/>
      </c>
      <c r="AX8" s="12">
        <f>AX5+AX6+AX7</f>
        <v/>
      </c>
      <c r="AY8" s="12">
        <f>AY5+AY6+AY7</f>
        <v/>
      </c>
      <c r="AZ8" s="12">
        <f>AZ5+AZ6+AZ7</f>
        <v/>
      </c>
      <c r="BA8" s="12">
        <f>BA5+BA6+BA7</f>
        <v/>
      </c>
      <c r="BB8" s="12">
        <f>BB5+BB6+BB7</f>
        <v/>
      </c>
      <c r="BC8" s="12">
        <f>BC5+BC6+BC7</f>
        <v/>
      </c>
      <c r="BD8" s="12">
        <f>BD5+BD6+BD7</f>
        <v/>
      </c>
      <c r="BE8" s="12">
        <f>BE5+BE6+BE7</f>
        <v/>
      </c>
      <c r="BF8" s="12">
        <f>BF5+BF6+BF7</f>
        <v/>
      </c>
      <c r="BG8" s="12">
        <f>BG5+BG6+BG7</f>
        <v/>
      </c>
      <c r="BH8" s="12">
        <f>BH5+BH6+BH7</f>
        <v/>
      </c>
      <c r="BI8" s="12">
        <f>BI5+BI6+BI7</f>
        <v/>
      </c>
      <c r="BJ8" s="12">
        <f>BJ5+BJ6+BJ7</f>
        <v/>
      </c>
      <c r="BK8" s="12">
        <f>BK5+BK6+BK7</f>
        <v/>
      </c>
      <c r="BL8" s="12">
        <f>BL5+BL6+BL7</f>
        <v/>
      </c>
      <c r="BM8" s="12">
        <f>BM5+BM6+BM7</f>
        <v/>
      </c>
      <c r="BN8" s="12">
        <f>BN5+BN6+BN7</f>
        <v/>
      </c>
      <c r="BO8" s="12">
        <f>BO5+BO6+BO7</f>
        <v/>
      </c>
      <c r="BP8" s="12">
        <f>BP5+BP6+BP7</f>
        <v/>
      </c>
      <c r="BQ8" s="12">
        <f>BQ5+BQ6+BQ7</f>
        <v/>
      </c>
      <c r="BR8" s="12">
        <f>BR5+BR6+BR7</f>
        <v/>
      </c>
      <c r="BS8" s="12">
        <f>BS5+BS6+BS7</f>
        <v/>
      </c>
      <c r="BT8" s="12">
        <f>BT5+BT6+BT7</f>
        <v/>
      </c>
      <c r="BU8" s="12">
        <f>BU5+BU6+BU7</f>
        <v/>
      </c>
      <c r="BV8" s="12">
        <f>BV5+BV6+BV7</f>
        <v/>
      </c>
      <c r="BW8" s="12">
        <f>BW5+BW6+BW7</f>
        <v/>
      </c>
      <c r="BX8" s="12">
        <f>BX5+BX6+BX7</f>
        <v/>
      </c>
      <c r="BY8" s="12">
        <f>BY5+BY6+BY7</f>
        <v/>
      </c>
      <c r="BZ8" s="12">
        <f>BZ5+BZ6+BZ7</f>
        <v/>
      </c>
      <c r="CA8" s="12">
        <f>CA5+CA6+CA7</f>
        <v/>
      </c>
      <c r="CB8" s="12">
        <f>CB5+CB6+CB7</f>
        <v/>
      </c>
      <c r="CC8" s="12">
        <f>CC5+CC6+CC7</f>
        <v/>
      </c>
      <c r="CD8" s="12">
        <f>CD5+CD6+CD7</f>
        <v/>
      </c>
      <c r="CE8" s="12">
        <f>CE5+CE6+CE7</f>
        <v/>
      </c>
      <c r="CF8" s="12">
        <f>CF5+CF6+CF7</f>
        <v/>
      </c>
      <c r="CG8" s="12">
        <f>CG5+CG6+CG7</f>
        <v/>
      </c>
      <c r="CH8" s="12">
        <f>CH5+CH6+CH7</f>
        <v/>
      </c>
    </row>
    <row r="9">
      <c r="A9" s="3" t="inlineStr">
        <is>
          <t>Tier 1 to LP</t>
        </is>
      </c>
      <c r="B9" s="4" t="inlineStr">
        <is>
          <t>$</t>
        </is>
      </c>
      <c r="C9" s="12">
        <f>IF(C4&lt;0,C4,MIN(MAX(C4,0),MAX(0,C8)))</f>
        <v/>
      </c>
      <c r="D9" s="12">
        <f>IF(D4&lt;0,D4,MIN(MAX(D4,0),MAX(0,D8)))</f>
        <v/>
      </c>
      <c r="E9" s="12">
        <f>IF(E4&lt;0,E4,MIN(MAX(E4,0),MAX(0,E8)))</f>
        <v/>
      </c>
      <c r="F9" s="12">
        <f>IF(F4&lt;0,F4,MIN(MAX(F4,0),MAX(0,F8)))</f>
        <v/>
      </c>
      <c r="G9" s="12">
        <f>IF(G4&lt;0,G4,MIN(MAX(G4,0),MAX(0,G8)))</f>
        <v/>
      </c>
      <c r="H9" s="12">
        <f>IF(H4&lt;0,H4,MIN(MAX(H4,0),MAX(0,H8)))</f>
        <v/>
      </c>
      <c r="I9" s="12">
        <f>IF(I4&lt;0,I4,MIN(MAX(I4,0),MAX(0,I8)))</f>
        <v/>
      </c>
      <c r="J9" s="12">
        <f>IF(J4&lt;0,J4,MIN(MAX(J4,0),MAX(0,J8)))</f>
        <v/>
      </c>
      <c r="K9" s="12">
        <f>IF(K4&lt;0,K4,MIN(MAX(K4,0),MAX(0,K8)))</f>
        <v/>
      </c>
      <c r="L9" s="12">
        <f>IF(L4&lt;0,L4,MIN(MAX(L4,0),MAX(0,L8)))</f>
        <v/>
      </c>
      <c r="M9" s="12">
        <f>IF(M4&lt;0,M4,MIN(MAX(M4,0),MAX(0,M8)))</f>
        <v/>
      </c>
      <c r="N9" s="12">
        <f>IF(N4&lt;0,N4,MIN(MAX(N4,0),MAX(0,N8)))</f>
        <v/>
      </c>
      <c r="O9" s="12">
        <f>IF(O4&lt;0,O4,MIN(MAX(O4,0),MAX(0,O8)))</f>
        <v/>
      </c>
      <c r="P9" s="12">
        <f>IF(P4&lt;0,P4,MIN(MAX(P4,0),MAX(0,P8)))</f>
        <v/>
      </c>
      <c r="Q9" s="12">
        <f>IF(Q4&lt;0,Q4,MIN(MAX(Q4,0),MAX(0,Q8)))</f>
        <v/>
      </c>
      <c r="R9" s="12">
        <f>IF(R4&lt;0,R4,MIN(MAX(R4,0),MAX(0,R8)))</f>
        <v/>
      </c>
      <c r="S9" s="12">
        <f>IF(S4&lt;0,S4,MIN(MAX(S4,0),MAX(0,S8)))</f>
        <v/>
      </c>
      <c r="T9" s="12">
        <f>IF(T4&lt;0,T4,MIN(MAX(T4,0),MAX(0,T8)))</f>
        <v/>
      </c>
      <c r="U9" s="12">
        <f>IF(U4&lt;0,U4,MIN(MAX(U4,0),MAX(0,U8)))</f>
        <v/>
      </c>
      <c r="V9" s="12">
        <f>IF(V4&lt;0,V4,MIN(MAX(V4,0),MAX(0,V8)))</f>
        <v/>
      </c>
      <c r="W9" s="12">
        <f>IF(W4&lt;0,W4,MIN(MAX(W4,0),MAX(0,W8)))</f>
        <v/>
      </c>
      <c r="X9" s="12">
        <f>IF(X4&lt;0,X4,MIN(MAX(X4,0),MAX(0,X8)))</f>
        <v/>
      </c>
      <c r="Y9" s="12">
        <f>IF(Y4&lt;0,Y4,MIN(MAX(Y4,0),MAX(0,Y8)))</f>
        <v/>
      </c>
      <c r="Z9" s="12">
        <f>IF(Z4&lt;0,Z4,MIN(MAX(Z4,0),MAX(0,Z8)))</f>
        <v/>
      </c>
      <c r="AA9" s="12">
        <f>IF(AA4&lt;0,AA4,MIN(MAX(AA4,0),MAX(0,AA8)))</f>
        <v/>
      </c>
      <c r="AB9" s="12">
        <f>IF(AB4&lt;0,AB4,MIN(MAX(AB4,0),MAX(0,AB8)))</f>
        <v/>
      </c>
      <c r="AC9" s="12">
        <f>IF(AC4&lt;0,AC4,MIN(MAX(AC4,0),MAX(0,AC8)))</f>
        <v/>
      </c>
      <c r="AD9" s="12">
        <f>IF(AD4&lt;0,AD4,MIN(MAX(AD4,0),MAX(0,AD8)))</f>
        <v/>
      </c>
      <c r="AE9" s="12">
        <f>IF(AE4&lt;0,AE4,MIN(MAX(AE4,0),MAX(0,AE8)))</f>
        <v/>
      </c>
      <c r="AF9" s="12">
        <f>IF(AF4&lt;0,AF4,MIN(MAX(AF4,0),MAX(0,AF8)))</f>
        <v/>
      </c>
      <c r="AG9" s="12">
        <f>IF(AG4&lt;0,AG4,MIN(MAX(AG4,0),MAX(0,AG8)))</f>
        <v/>
      </c>
      <c r="AH9" s="12">
        <f>IF(AH4&lt;0,AH4,MIN(MAX(AH4,0),MAX(0,AH8)))</f>
        <v/>
      </c>
      <c r="AI9" s="12">
        <f>IF(AI4&lt;0,AI4,MIN(MAX(AI4,0),MAX(0,AI8)))</f>
        <v/>
      </c>
      <c r="AJ9" s="12">
        <f>IF(AJ4&lt;0,AJ4,MIN(MAX(AJ4,0),MAX(0,AJ8)))</f>
        <v/>
      </c>
      <c r="AK9" s="12">
        <f>IF(AK4&lt;0,AK4,MIN(MAX(AK4,0),MAX(0,AK8)))</f>
        <v/>
      </c>
      <c r="AL9" s="12">
        <f>IF(AL4&lt;0,AL4,MIN(MAX(AL4,0),MAX(0,AL8)))</f>
        <v/>
      </c>
      <c r="AM9" s="12">
        <f>IF(AM4&lt;0,AM4,MIN(MAX(AM4,0),MAX(0,AM8)))</f>
        <v/>
      </c>
      <c r="AN9" s="12">
        <f>IF(AN4&lt;0,AN4,MIN(MAX(AN4,0),MAX(0,AN8)))</f>
        <v/>
      </c>
      <c r="AO9" s="12">
        <f>IF(AO4&lt;0,AO4,MIN(MAX(AO4,0),MAX(0,AO8)))</f>
        <v/>
      </c>
      <c r="AP9" s="12">
        <f>IF(AP4&lt;0,AP4,MIN(MAX(AP4,0),MAX(0,AP8)))</f>
        <v/>
      </c>
      <c r="AQ9" s="12">
        <f>IF(AQ4&lt;0,AQ4,MIN(MAX(AQ4,0),MAX(0,AQ8)))</f>
        <v/>
      </c>
      <c r="AR9" s="12">
        <f>IF(AR4&lt;0,AR4,MIN(MAX(AR4,0),MAX(0,AR8)))</f>
        <v/>
      </c>
      <c r="AS9" s="12">
        <f>IF(AS4&lt;0,AS4,MIN(MAX(AS4,0),MAX(0,AS8)))</f>
        <v/>
      </c>
      <c r="AT9" s="12">
        <f>IF(AT4&lt;0,AT4,MIN(MAX(AT4,0),MAX(0,AT8)))</f>
        <v/>
      </c>
      <c r="AU9" s="12">
        <f>IF(AU4&lt;0,AU4,MIN(MAX(AU4,0),MAX(0,AU8)))</f>
        <v/>
      </c>
      <c r="AV9" s="12">
        <f>IF(AV4&lt;0,AV4,MIN(MAX(AV4,0),MAX(0,AV8)))</f>
        <v/>
      </c>
      <c r="AW9" s="12">
        <f>IF(AW4&lt;0,AW4,MIN(MAX(AW4,0),MAX(0,AW8)))</f>
        <v/>
      </c>
      <c r="AX9" s="12">
        <f>IF(AX4&lt;0,AX4,MIN(MAX(AX4,0),MAX(0,AX8)))</f>
        <v/>
      </c>
      <c r="AY9" s="12">
        <f>IF(AY4&lt;0,AY4,MIN(MAX(AY4,0),MAX(0,AY8)))</f>
        <v/>
      </c>
      <c r="AZ9" s="12">
        <f>IF(AZ4&lt;0,AZ4,MIN(MAX(AZ4,0),MAX(0,AZ8)))</f>
        <v/>
      </c>
      <c r="BA9" s="12">
        <f>IF(BA4&lt;0,BA4,MIN(MAX(BA4,0),MAX(0,BA8)))</f>
        <v/>
      </c>
      <c r="BB9" s="12">
        <f>IF(BB4&lt;0,BB4,MIN(MAX(BB4,0),MAX(0,BB8)))</f>
        <v/>
      </c>
      <c r="BC9" s="12">
        <f>IF(BC4&lt;0,BC4,MIN(MAX(BC4,0),MAX(0,BC8)))</f>
        <v/>
      </c>
      <c r="BD9" s="12">
        <f>IF(BD4&lt;0,BD4,MIN(MAX(BD4,0),MAX(0,BD8)))</f>
        <v/>
      </c>
      <c r="BE9" s="12">
        <f>IF(BE4&lt;0,BE4,MIN(MAX(BE4,0),MAX(0,BE8)))</f>
        <v/>
      </c>
      <c r="BF9" s="12">
        <f>IF(BF4&lt;0,BF4,MIN(MAX(BF4,0),MAX(0,BF8)))</f>
        <v/>
      </c>
      <c r="BG9" s="12">
        <f>IF(BG4&lt;0,BG4,MIN(MAX(BG4,0),MAX(0,BG8)))</f>
        <v/>
      </c>
      <c r="BH9" s="12">
        <f>IF(BH4&lt;0,BH4,MIN(MAX(BH4,0),MAX(0,BH8)))</f>
        <v/>
      </c>
      <c r="BI9" s="12">
        <f>IF(BI4&lt;0,BI4,MIN(MAX(BI4,0),MAX(0,BI8)))</f>
        <v/>
      </c>
      <c r="BJ9" s="12">
        <f>IF(BJ4&lt;0,BJ4,MIN(MAX(BJ4,0),MAX(0,BJ8)))</f>
        <v/>
      </c>
      <c r="BK9" s="12">
        <f>IF(BK4&lt;0,BK4,MIN(MAX(BK4,0),MAX(0,BK8)))</f>
        <v/>
      </c>
      <c r="BL9" s="12">
        <f>IF(BL4&lt;0,BL4,MIN(MAX(BL4,0),MAX(0,BL8)))</f>
        <v/>
      </c>
      <c r="BM9" s="12">
        <f>IF(BM4&lt;0,BM4,MIN(MAX(BM4,0),MAX(0,BM8)))</f>
        <v/>
      </c>
      <c r="BN9" s="12">
        <f>IF(BN4&lt;0,BN4,MIN(MAX(BN4,0),MAX(0,BN8)))</f>
        <v/>
      </c>
      <c r="BO9" s="12">
        <f>IF(BO4&lt;0,BO4,MIN(MAX(BO4,0),MAX(0,BO8)))</f>
        <v/>
      </c>
      <c r="BP9" s="12">
        <f>IF(BP4&lt;0,BP4,MIN(MAX(BP4,0),MAX(0,BP8)))</f>
        <v/>
      </c>
      <c r="BQ9" s="12">
        <f>IF(BQ4&lt;0,BQ4,MIN(MAX(BQ4,0),MAX(0,BQ8)))</f>
        <v/>
      </c>
      <c r="BR9" s="12">
        <f>IF(BR4&lt;0,BR4,MIN(MAX(BR4,0),MAX(0,BR8)))</f>
        <v/>
      </c>
      <c r="BS9" s="12">
        <f>IF(BS4&lt;0,BS4,MIN(MAX(BS4,0),MAX(0,BS8)))</f>
        <v/>
      </c>
      <c r="BT9" s="12">
        <f>IF(BT4&lt;0,BT4,MIN(MAX(BT4,0),MAX(0,BT8)))</f>
        <v/>
      </c>
      <c r="BU9" s="12">
        <f>IF(BU4&lt;0,BU4,MIN(MAX(BU4,0),MAX(0,BU8)))</f>
        <v/>
      </c>
      <c r="BV9" s="12">
        <f>IF(BV4&lt;0,BV4,MIN(MAX(BV4,0),MAX(0,BV8)))</f>
        <v/>
      </c>
      <c r="BW9" s="12">
        <f>IF(BW4&lt;0,BW4,MIN(MAX(BW4,0),MAX(0,BW8)))</f>
        <v/>
      </c>
      <c r="BX9" s="12">
        <f>IF(BX4&lt;0,BX4,MIN(MAX(BX4,0),MAX(0,BX8)))</f>
        <v/>
      </c>
      <c r="BY9" s="12">
        <f>IF(BY4&lt;0,BY4,MIN(MAX(BY4,0),MAX(0,BY8)))</f>
        <v/>
      </c>
      <c r="BZ9" s="12">
        <f>IF(BZ4&lt;0,BZ4,MIN(MAX(BZ4,0),MAX(0,BZ8)))</f>
        <v/>
      </c>
      <c r="CA9" s="12">
        <f>IF(CA4&lt;0,CA4,MIN(MAX(CA4,0),MAX(0,CA8)))</f>
        <v/>
      </c>
      <c r="CB9" s="12">
        <f>IF(CB4&lt;0,CB4,MIN(MAX(CB4,0),MAX(0,CB8)))</f>
        <v/>
      </c>
      <c r="CC9" s="12">
        <f>IF(CC4&lt;0,CC4,MIN(MAX(CC4,0),MAX(0,CC8)))</f>
        <v/>
      </c>
      <c r="CD9" s="12">
        <f>IF(CD4&lt;0,CD4,MIN(MAX(CD4,0),MAX(0,CD8)))</f>
        <v/>
      </c>
      <c r="CE9" s="12">
        <f>IF(CE4&lt;0,CE4,MIN(MAX(CE4,0),MAX(0,CE8)))</f>
        <v/>
      </c>
      <c r="CF9" s="12">
        <f>IF(CF4&lt;0,CF4,MIN(MAX(CF4,0),MAX(0,CF8)))</f>
        <v/>
      </c>
      <c r="CG9" s="12">
        <f>IF(CG4&lt;0,CG4,MIN(MAX(CG4,0),MAX(0,CG8)))</f>
        <v/>
      </c>
      <c r="CH9" s="12">
        <f>IF(CH4&lt;0,CH4,MIN(MAX(CH4,0),MAX(0,CH8)))</f>
        <v/>
      </c>
    </row>
    <row r="10">
      <c r="A10" s="3" t="inlineStr">
        <is>
          <t>Cash after tier 1</t>
        </is>
      </c>
      <c r="B10" s="4" t="inlineStr">
        <is>
          <t>$</t>
        </is>
      </c>
      <c r="C10" s="12">
        <f>C4-C9</f>
        <v/>
      </c>
      <c r="D10" s="12">
        <f>D4-D9</f>
        <v/>
      </c>
      <c r="E10" s="12">
        <f>E4-E9</f>
        <v/>
      </c>
      <c r="F10" s="12">
        <f>F4-F9</f>
        <v/>
      </c>
      <c r="G10" s="12">
        <f>G4-G9</f>
        <v/>
      </c>
      <c r="H10" s="12">
        <f>H4-H9</f>
        <v/>
      </c>
      <c r="I10" s="12">
        <f>I4-I9</f>
        <v/>
      </c>
      <c r="J10" s="12">
        <f>J4-J9</f>
        <v/>
      </c>
      <c r="K10" s="12">
        <f>K4-K9</f>
        <v/>
      </c>
      <c r="L10" s="12">
        <f>L4-L9</f>
        <v/>
      </c>
      <c r="M10" s="12">
        <f>M4-M9</f>
        <v/>
      </c>
      <c r="N10" s="12">
        <f>N4-N9</f>
        <v/>
      </c>
      <c r="O10" s="12">
        <f>O4-O9</f>
        <v/>
      </c>
      <c r="P10" s="12">
        <f>P4-P9</f>
        <v/>
      </c>
      <c r="Q10" s="12">
        <f>Q4-Q9</f>
        <v/>
      </c>
      <c r="R10" s="12">
        <f>R4-R9</f>
        <v/>
      </c>
      <c r="S10" s="12">
        <f>S4-S9</f>
        <v/>
      </c>
      <c r="T10" s="12">
        <f>T4-T9</f>
        <v/>
      </c>
      <c r="U10" s="12">
        <f>U4-U9</f>
        <v/>
      </c>
      <c r="V10" s="12">
        <f>V4-V9</f>
        <v/>
      </c>
      <c r="W10" s="12">
        <f>W4-W9</f>
        <v/>
      </c>
      <c r="X10" s="12">
        <f>X4-X9</f>
        <v/>
      </c>
      <c r="Y10" s="12">
        <f>Y4-Y9</f>
        <v/>
      </c>
      <c r="Z10" s="12">
        <f>Z4-Z9</f>
        <v/>
      </c>
      <c r="AA10" s="12">
        <f>AA4-AA9</f>
        <v/>
      </c>
      <c r="AB10" s="12">
        <f>AB4-AB9</f>
        <v/>
      </c>
      <c r="AC10" s="12">
        <f>AC4-AC9</f>
        <v/>
      </c>
      <c r="AD10" s="12">
        <f>AD4-AD9</f>
        <v/>
      </c>
      <c r="AE10" s="12">
        <f>AE4-AE9</f>
        <v/>
      </c>
      <c r="AF10" s="12">
        <f>AF4-AF9</f>
        <v/>
      </c>
      <c r="AG10" s="12">
        <f>AG4-AG9</f>
        <v/>
      </c>
      <c r="AH10" s="12">
        <f>AH4-AH9</f>
        <v/>
      </c>
      <c r="AI10" s="12">
        <f>AI4-AI9</f>
        <v/>
      </c>
      <c r="AJ10" s="12">
        <f>AJ4-AJ9</f>
        <v/>
      </c>
      <c r="AK10" s="12">
        <f>AK4-AK9</f>
        <v/>
      </c>
      <c r="AL10" s="12">
        <f>AL4-AL9</f>
        <v/>
      </c>
      <c r="AM10" s="12">
        <f>AM4-AM9</f>
        <v/>
      </c>
      <c r="AN10" s="12">
        <f>AN4-AN9</f>
        <v/>
      </c>
      <c r="AO10" s="12">
        <f>AO4-AO9</f>
        <v/>
      </c>
      <c r="AP10" s="12">
        <f>AP4-AP9</f>
        <v/>
      </c>
      <c r="AQ10" s="12">
        <f>AQ4-AQ9</f>
        <v/>
      </c>
      <c r="AR10" s="12">
        <f>AR4-AR9</f>
        <v/>
      </c>
      <c r="AS10" s="12">
        <f>AS4-AS9</f>
        <v/>
      </c>
      <c r="AT10" s="12">
        <f>AT4-AT9</f>
        <v/>
      </c>
      <c r="AU10" s="12">
        <f>AU4-AU9</f>
        <v/>
      </c>
      <c r="AV10" s="12">
        <f>AV4-AV9</f>
        <v/>
      </c>
      <c r="AW10" s="12">
        <f>AW4-AW9</f>
        <v/>
      </c>
      <c r="AX10" s="12">
        <f>AX4-AX9</f>
        <v/>
      </c>
      <c r="AY10" s="12">
        <f>AY4-AY9</f>
        <v/>
      </c>
      <c r="AZ10" s="12">
        <f>AZ4-AZ9</f>
        <v/>
      </c>
      <c r="BA10" s="12">
        <f>BA4-BA9</f>
        <v/>
      </c>
      <c r="BB10" s="12">
        <f>BB4-BB9</f>
        <v/>
      </c>
      <c r="BC10" s="12">
        <f>BC4-BC9</f>
        <v/>
      </c>
      <c r="BD10" s="12">
        <f>BD4-BD9</f>
        <v/>
      </c>
      <c r="BE10" s="12">
        <f>BE4-BE9</f>
        <v/>
      </c>
      <c r="BF10" s="12">
        <f>BF4-BF9</f>
        <v/>
      </c>
      <c r="BG10" s="12">
        <f>BG4-BG9</f>
        <v/>
      </c>
      <c r="BH10" s="12">
        <f>BH4-BH9</f>
        <v/>
      </c>
      <c r="BI10" s="12">
        <f>BI4-BI9</f>
        <v/>
      </c>
      <c r="BJ10" s="12">
        <f>BJ4-BJ9</f>
        <v/>
      </c>
      <c r="BK10" s="12">
        <f>BK4-BK9</f>
        <v/>
      </c>
      <c r="BL10" s="12">
        <f>BL4-BL9</f>
        <v/>
      </c>
      <c r="BM10" s="12">
        <f>BM4-BM9</f>
        <v/>
      </c>
      <c r="BN10" s="12">
        <f>BN4-BN9</f>
        <v/>
      </c>
      <c r="BO10" s="12">
        <f>BO4-BO9</f>
        <v/>
      </c>
      <c r="BP10" s="12">
        <f>BP4-BP9</f>
        <v/>
      </c>
      <c r="BQ10" s="12">
        <f>BQ4-BQ9</f>
        <v/>
      </c>
      <c r="BR10" s="12">
        <f>BR4-BR9</f>
        <v/>
      </c>
      <c r="BS10" s="12">
        <f>BS4-BS9</f>
        <v/>
      </c>
      <c r="BT10" s="12">
        <f>BT4-BT9</f>
        <v/>
      </c>
      <c r="BU10" s="12">
        <f>BU4-BU9</f>
        <v/>
      </c>
      <c r="BV10" s="12">
        <f>BV4-BV9</f>
        <v/>
      </c>
      <c r="BW10" s="12">
        <f>BW4-BW9</f>
        <v/>
      </c>
      <c r="BX10" s="12">
        <f>BX4-BX9</f>
        <v/>
      </c>
      <c r="BY10" s="12">
        <f>BY4-BY9</f>
        <v/>
      </c>
      <c r="BZ10" s="12">
        <f>BZ4-BZ9</f>
        <v/>
      </c>
      <c r="CA10" s="12">
        <f>CA4-CA9</f>
        <v/>
      </c>
      <c r="CB10" s="12">
        <f>CB4-CB9</f>
        <v/>
      </c>
      <c r="CC10" s="12">
        <f>CC4-CC9</f>
        <v/>
      </c>
      <c r="CD10" s="12">
        <f>CD4-CD9</f>
        <v/>
      </c>
      <c r="CE10" s="12">
        <f>CE4-CE9</f>
        <v/>
      </c>
      <c r="CF10" s="12">
        <f>CF4-CF9</f>
        <v/>
      </c>
      <c r="CG10" s="12">
        <f>CG4-CG9</f>
        <v/>
      </c>
      <c r="CH10" s="12">
        <f>CH4-CH9</f>
        <v/>
      </c>
    </row>
    <row r="11">
      <c r="A11" s="3" t="inlineStr">
        <is>
          <t>Preferred paid</t>
        </is>
      </c>
      <c r="B11" s="4" t="inlineStr">
        <is>
          <t>$</t>
        </is>
      </c>
      <c r="C11" s="12">
        <f>MIN(MAX(C9,0),C6+C7)</f>
        <v/>
      </c>
      <c r="D11" s="12">
        <f>MIN(MAX(D9,0),D6+D7)</f>
        <v/>
      </c>
      <c r="E11" s="12">
        <f>MIN(MAX(E9,0),E6+E7)</f>
        <v/>
      </c>
      <c r="F11" s="12">
        <f>MIN(MAX(F9,0),F6+F7)</f>
        <v/>
      </c>
      <c r="G11" s="12">
        <f>MIN(MAX(G9,0),G6+G7)</f>
        <v/>
      </c>
      <c r="H11" s="12">
        <f>MIN(MAX(H9,0),H6+H7)</f>
        <v/>
      </c>
      <c r="I11" s="12">
        <f>MIN(MAX(I9,0),I6+I7)</f>
        <v/>
      </c>
      <c r="J11" s="12">
        <f>MIN(MAX(J9,0),J6+J7)</f>
        <v/>
      </c>
      <c r="K11" s="12">
        <f>MIN(MAX(K9,0),K6+K7)</f>
        <v/>
      </c>
      <c r="L11" s="12">
        <f>MIN(MAX(L9,0),L6+L7)</f>
        <v/>
      </c>
      <c r="M11" s="12">
        <f>MIN(MAX(M9,0),M6+M7)</f>
        <v/>
      </c>
      <c r="N11" s="12">
        <f>MIN(MAX(N9,0),N6+N7)</f>
        <v/>
      </c>
      <c r="O11" s="12">
        <f>MIN(MAX(O9,0),O6+O7)</f>
        <v/>
      </c>
      <c r="P11" s="12">
        <f>MIN(MAX(P9,0),P6+P7)</f>
        <v/>
      </c>
      <c r="Q11" s="12">
        <f>MIN(MAX(Q9,0),Q6+Q7)</f>
        <v/>
      </c>
      <c r="R11" s="12">
        <f>MIN(MAX(R9,0),R6+R7)</f>
        <v/>
      </c>
      <c r="S11" s="12">
        <f>MIN(MAX(S9,0),S6+S7)</f>
        <v/>
      </c>
      <c r="T11" s="12">
        <f>MIN(MAX(T9,0),T6+T7)</f>
        <v/>
      </c>
      <c r="U11" s="12">
        <f>MIN(MAX(U9,0),U6+U7)</f>
        <v/>
      </c>
      <c r="V11" s="12">
        <f>MIN(MAX(V9,0),V6+V7)</f>
        <v/>
      </c>
      <c r="W11" s="12">
        <f>MIN(MAX(W9,0),W6+W7)</f>
        <v/>
      </c>
      <c r="X11" s="12">
        <f>MIN(MAX(X9,0),X6+X7)</f>
        <v/>
      </c>
      <c r="Y11" s="12">
        <f>MIN(MAX(Y9,0),Y6+Y7)</f>
        <v/>
      </c>
      <c r="Z11" s="12">
        <f>MIN(MAX(Z9,0),Z6+Z7)</f>
        <v/>
      </c>
      <c r="AA11" s="12">
        <f>MIN(MAX(AA9,0),AA6+AA7)</f>
        <v/>
      </c>
      <c r="AB11" s="12">
        <f>MIN(MAX(AB9,0),AB6+AB7)</f>
        <v/>
      </c>
      <c r="AC11" s="12">
        <f>MIN(MAX(AC9,0),AC6+AC7)</f>
        <v/>
      </c>
      <c r="AD11" s="12">
        <f>MIN(MAX(AD9,0),AD6+AD7)</f>
        <v/>
      </c>
      <c r="AE11" s="12">
        <f>MIN(MAX(AE9,0),AE6+AE7)</f>
        <v/>
      </c>
      <c r="AF11" s="12">
        <f>MIN(MAX(AF9,0),AF6+AF7)</f>
        <v/>
      </c>
      <c r="AG11" s="12">
        <f>MIN(MAX(AG9,0),AG6+AG7)</f>
        <v/>
      </c>
      <c r="AH11" s="12">
        <f>MIN(MAX(AH9,0),AH6+AH7)</f>
        <v/>
      </c>
      <c r="AI11" s="12">
        <f>MIN(MAX(AI9,0),AI6+AI7)</f>
        <v/>
      </c>
      <c r="AJ11" s="12">
        <f>MIN(MAX(AJ9,0),AJ6+AJ7)</f>
        <v/>
      </c>
      <c r="AK11" s="12">
        <f>MIN(MAX(AK9,0),AK6+AK7)</f>
        <v/>
      </c>
      <c r="AL11" s="12">
        <f>MIN(MAX(AL9,0),AL6+AL7)</f>
        <v/>
      </c>
      <c r="AM11" s="12">
        <f>MIN(MAX(AM9,0),AM6+AM7)</f>
        <v/>
      </c>
      <c r="AN11" s="12">
        <f>MIN(MAX(AN9,0),AN6+AN7)</f>
        <v/>
      </c>
      <c r="AO11" s="12">
        <f>MIN(MAX(AO9,0),AO6+AO7)</f>
        <v/>
      </c>
      <c r="AP11" s="12">
        <f>MIN(MAX(AP9,0),AP6+AP7)</f>
        <v/>
      </c>
      <c r="AQ11" s="12">
        <f>MIN(MAX(AQ9,0),AQ6+AQ7)</f>
        <v/>
      </c>
      <c r="AR11" s="12">
        <f>MIN(MAX(AR9,0),AR6+AR7)</f>
        <v/>
      </c>
      <c r="AS11" s="12">
        <f>MIN(MAX(AS9,0),AS6+AS7)</f>
        <v/>
      </c>
      <c r="AT11" s="12">
        <f>MIN(MAX(AT9,0),AT6+AT7)</f>
        <v/>
      </c>
      <c r="AU11" s="12">
        <f>MIN(MAX(AU9,0),AU6+AU7)</f>
        <v/>
      </c>
      <c r="AV11" s="12">
        <f>MIN(MAX(AV9,0),AV6+AV7)</f>
        <v/>
      </c>
      <c r="AW11" s="12">
        <f>MIN(MAX(AW9,0),AW6+AW7)</f>
        <v/>
      </c>
      <c r="AX11" s="12">
        <f>MIN(MAX(AX9,0),AX6+AX7)</f>
        <v/>
      </c>
      <c r="AY11" s="12">
        <f>MIN(MAX(AY9,0),AY6+AY7)</f>
        <v/>
      </c>
      <c r="AZ11" s="12">
        <f>MIN(MAX(AZ9,0),AZ6+AZ7)</f>
        <v/>
      </c>
      <c r="BA11" s="12">
        <f>MIN(MAX(BA9,0),BA6+BA7)</f>
        <v/>
      </c>
      <c r="BB11" s="12">
        <f>MIN(MAX(BB9,0),BB6+BB7)</f>
        <v/>
      </c>
      <c r="BC11" s="12">
        <f>MIN(MAX(BC9,0),BC6+BC7)</f>
        <v/>
      </c>
      <c r="BD11" s="12">
        <f>MIN(MAX(BD9,0),BD6+BD7)</f>
        <v/>
      </c>
      <c r="BE11" s="12">
        <f>MIN(MAX(BE9,0),BE6+BE7)</f>
        <v/>
      </c>
      <c r="BF11" s="12">
        <f>MIN(MAX(BF9,0),BF6+BF7)</f>
        <v/>
      </c>
      <c r="BG11" s="12">
        <f>MIN(MAX(BG9,0),BG6+BG7)</f>
        <v/>
      </c>
      <c r="BH11" s="12">
        <f>MIN(MAX(BH9,0),BH6+BH7)</f>
        <v/>
      </c>
      <c r="BI11" s="12">
        <f>MIN(MAX(BI9,0),BI6+BI7)</f>
        <v/>
      </c>
      <c r="BJ11" s="12">
        <f>MIN(MAX(BJ9,0),BJ6+BJ7)</f>
        <v/>
      </c>
      <c r="BK11" s="12">
        <f>MIN(MAX(BK9,0),BK6+BK7)</f>
        <v/>
      </c>
      <c r="BL11" s="12">
        <f>MIN(MAX(BL9,0),BL6+BL7)</f>
        <v/>
      </c>
      <c r="BM11" s="12">
        <f>MIN(MAX(BM9,0),BM6+BM7)</f>
        <v/>
      </c>
      <c r="BN11" s="12">
        <f>MIN(MAX(BN9,0),BN6+BN7)</f>
        <v/>
      </c>
      <c r="BO11" s="12">
        <f>MIN(MAX(BO9,0),BO6+BO7)</f>
        <v/>
      </c>
      <c r="BP11" s="12">
        <f>MIN(MAX(BP9,0),BP6+BP7)</f>
        <v/>
      </c>
      <c r="BQ11" s="12">
        <f>MIN(MAX(BQ9,0),BQ6+BQ7)</f>
        <v/>
      </c>
      <c r="BR11" s="12">
        <f>MIN(MAX(BR9,0),BR6+BR7)</f>
        <v/>
      </c>
      <c r="BS11" s="12">
        <f>MIN(MAX(BS9,0),BS6+BS7)</f>
        <v/>
      </c>
      <c r="BT11" s="12">
        <f>MIN(MAX(BT9,0),BT6+BT7)</f>
        <v/>
      </c>
      <c r="BU11" s="12">
        <f>MIN(MAX(BU9,0),BU6+BU7)</f>
        <v/>
      </c>
      <c r="BV11" s="12">
        <f>MIN(MAX(BV9,0),BV6+BV7)</f>
        <v/>
      </c>
      <c r="BW11" s="12">
        <f>MIN(MAX(BW9,0),BW6+BW7)</f>
        <v/>
      </c>
      <c r="BX11" s="12">
        <f>MIN(MAX(BX9,0),BX6+BX7)</f>
        <v/>
      </c>
      <c r="BY11" s="12">
        <f>MIN(MAX(BY9,0),BY6+BY7)</f>
        <v/>
      </c>
      <c r="BZ11" s="12">
        <f>MIN(MAX(BZ9,0),BZ6+BZ7)</f>
        <v/>
      </c>
      <c r="CA11" s="12">
        <f>MIN(MAX(CA9,0),CA6+CA7)</f>
        <v/>
      </c>
      <c r="CB11" s="12">
        <f>MIN(MAX(CB9,0),CB6+CB7)</f>
        <v/>
      </c>
      <c r="CC11" s="12">
        <f>MIN(MAX(CC9,0),CC6+CC7)</f>
        <v/>
      </c>
      <c r="CD11" s="12">
        <f>MIN(MAX(CD9,0),CD6+CD7)</f>
        <v/>
      </c>
      <c r="CE11" s="12">
        <f>MIN(MAX(CE9,0),CE6+CE7)</f>
        <v/>
      </c>
      <c r="CF11" s="12">
        <f>MIN(MAX(CF9,0),CF6+CF7)</f>
        <v/>
      </c>
      <c r="CG11" s="12">
        <f>MIN(MAX(CG9,0),CG6+CG7)</f>
        <v/>
      </c>
      <c r="CH11" s="12">
        <f>MIN(MAX(CH9,0),CH6+CH7)</f>
        <v/>
      </c>
    </row>
    <row r="12">
      <c r="A12" s="3" t="inlineStr">
        <is>
          <t>LP capital returned</t>
        </is>
      </c>
      <c r="B12" s="4" t="inlineStr">
        <is>
          <t>$</t>
        </is>
      </c>
      <c r="C12" s="12">
        <f>MAX(C9,0)-C11</f>
        <v/>
      </c>
      <c r="D12" s="12">
        <f>MAX(D9,0)-D11</f>
        <v/>
      </c>
      <c r="E12" s="12">
        <f>MAX(E9,0)-E11</f>
        <v/>
      </c>
      <c r="F12" s="12">
        <f>MAX(F9,0)-F11</f>
        <v/>
      </c>
      <c r="G12" s="12">
        <f>MAX(G9,0)-G11</f>
        <v/>
      </c>
      <c r="H12" s="12">
        <f>MAX(H9,0)-H11</f>
        <v/>
      </c>
      <c r="I12" s="12">
        <f>MAX(I9,0)-I11</f>
        <v/>
      </c>
      <c r="J12" s="12">
        <f>MAX(J9,0)-J11</f>
        <v/>
      </c>
      <c r="K12" s="12">
        <f>MAX(K9,0)-K11</f>
        <v/>
      </c>
      <c r="L12" s="12">
        <f>MAX(L9,0)-L11</f>
        <v/>
      </c>
      <c r="M12" s="12">
        <f>MAX(M9,0)-M11</f>
        <v/>
      </c>
      <c r="N12" s="12">
        <f>MAX(N9,0)-N11</f>
        <v/>
      </c>
      <c r="O12" s="12">
        <f>MAX(O9,0)-O11</f>
        <v/>
      </c>
      <c r="P12" s="12">
        <f>MAX(P9,0)-P11</f>
        <v/>
      </c>
      <c r="Q12" s="12">
        <f>MAX(Q9,0)-Q11</f>
        <v/>
      </c>
      <c r="R12" s="12">
        <f>MAX(R9,0)-R11</f>
        <v/>
      </c>
      <c r="S12" s="12">
        <f>MAX(S9,0)-S11</f>
        <v/>
      </c>
      <c r="T12" s="12">
        <f>MAX(T9,0)-T11</f>
        <v/>
      </c>
      <c r="U12" s="12">
        <f>MAX(U9,0)-U11</f>
        <v/>
      </c>
      <c r="V12" s="12">
        <f>MAX(V9,0)-V11</f>
        <v/>
      </c>
      <c r="W12" s="12">
        <f>MAX(W9,0)-W11</f>
        <v/>
      </c>
      <c r="X12" s="12">
        <f>MAX(X9,0)-X11</f>
        <v/>
      </c>
      <c r="Y12" s="12">
        <f>MAX(Y9,0)-Y11</f>
        <v/>
      </c>
      <c r="Z12" s="12">
        <f>MAX(Z9,0)-Z11</f>
        <v/>
      </c>
      <c r="AA12" s="12">
        <f>MAX(AA9,0)-AA11</f>
        <v/>
      </c>
      <c r="AB12" s="12">
        <f>MAX(AB9,0)-AB11</f>
        <v/>
      </c>
      <c r="AC12" s="12">
        <f>MAX(AC9,0)-AC11</f>
        <v/>
      </c>
      <c r="AD12" s="12">
        <f>MAX(AD9,0)-AD11</f>
        <v/>
      </c>
      <c r="AE12" s="12">
        <f>MAX(AE9,0)-AE11</f>
        <v/>
      </c>
      <c r="AF12" s="12">
        <f>MAX(AF9,0)-AF11</f>
        <v/>
      </c>
      <c r="AG12" s="12">
        <f>MAX(AG9,0)-AG11</f>
        <v/>
      </c>
      <c r="AH12" s="12">
        <f>MAX(AH9,0)-AH11</f>
        <v/>
      </c>
      <c r="AI12" s="12">
        <f>MAX(AI9,0)-AI11</f>
        <v/>
      </c>
      <c r="AJ12" s="12">
        <f>MAX(AJ9,0)-AJ11</f>
        <v/>
      </c>
      <c r="AK12" s="12">
        <f>MAX(AK9,0)-AK11</f>
        <v/>
      </c>
      <c r="AL12" s="12">
        <f>MAX(AL9,0)-AL11</f>
        <v/>
      </c>
      <c r="AM12" s="12">
        <f>MAX(AM9,0)-AM11</f>
        <v/>
      </c>
      <c r="AN12" s="12">
        <f>MAX(AN9,0)-AN11</f>
        <v/>
      </c>
      <c r="AO12" s="12">
        <f>MAX(AO9,0)-AO11</f>
        <v/>
      </c>
      <c r="AP12" s="12">
        <f>MAX(AP9,0)-AP11</f>
        <v/>
      </c>
      <c r="AQ12" s="12">
        <f>MAX(AQ9,0)-AQ11</f>
        <v/>
      </c>
      <c r="AR12" s="12">
        <f>MAX(AR9,0)-AR11</f>
        <v/>
      </c>
      <c r="AS12" s="12">
        <f>MAX(AS9,0)-AS11</f>
        <v/>
      </c>
      <c r="AT12" s="12">
        <f>MAX(AT9,0)-AT11</f>
        <v/>
      </c>
      <c r="AU12" s="12">
        <f>MAX(AU9,0)-AU11</f>
        <v/>
      </c>
      <c r="AV12" s="12">
        <f>MAX(AV9,0)-AV11</f>
        <v/>
      </c>
      <c r="AW12" s="12">
        <f>MAX(AW9,0)-AW11</f>
        <v/>
      </c>
      <c r="AX12" s="12">
        <f>MAX(AX9,0)-AX11</f>
        <v/>
      </c>
      <c r="AY12" s="12">
        <f>MAX(AY9,0)-AY11</f>
        <v/>
      </c>
      <c r="AZ12" s="12">
        <f>MAX(AZ9,0)-AZ11</f>
        <v/>
      </c>
      <c r="BA12" s="12">
        <f>MAX(BA9,0)-BA11</f>
        <v/>
      </c>
      <c r="BB12" s="12">
        <f>MAX(BB9,0)-BB11</f>
        <v/>
      </c>
      <c r="BC12" s="12">
        <f>MAX(BC9,0)-BC11</f>
        <v/>
      </c>
      <c r="BD12" s="12">
        <f>MAX(BD9,0)-BD11</f>
        <v/>
      </c>
      <c r="BE12" s="12">
        <f>MAX(BE9,0)-BE11</f>
        <v/>
      </c>
      <c r="BF12" s="12">
        <f>MAX(BF9,0)-BF11</f>
        <v/>
      </c>
      <c r="BG12" s="12">
        <f>MAX(BG9,0)-BG11</f>
        <v/>
      </c>
      <c r="BH12" s="12">
        <f>MAX(BH9,0)-BH11</f>
        <v/>
      </c>
      <c r="BI12" s="12">
        <f>MAX(BI9,0)-BI11</f>
        <v/>
      </c>
      <c r="BJ12" s="12">
        <f>MAX(BJ9,0)-BJ11</f>
        <v/>
      </c>
      <c r="BK12" s="12">
        <f>MAX(BK9,0)-BK11</f>
        <v/>
      </c>
      <c r="BL12" s="12">
        <f>MAX(BL9,0)-BL11</f>
        <v/>
      </c>
      <c r="BM12" s="12">
        <f>MAX(BM9,0)-BM11</f>
        <v/>
      </c>
      <c r="BN12" s="12">
        <f>MAX(BN9,0)-BN11</f>
        <v/>
      </c>
      <c r="BO12" s="12">
        <f>MAX(BO9,0)-BO11</f>
        <v/>
      </c>
      <c r="BP12" s="12">
        <f>MAX(BP9,0)-BP11</f>
        <v/>
      </c>
      <c r="BQ12" s="12">
        <f>MAX(BQ9,0)-BQ11</f>
        <v/>
      </c>
      <c r="BR12" s="12">
        <f>MAX(BR9,0)-BR11</f>
        <v/>
      </c>
      <c r="BS12" s="12">
        <f>MAX(BS9,0)-BS11</f>
        <v/>
      </c>
      <c r="BT12" s="12">
        <f>MAX(BT9,0)-BT11</f>
        <v/>
      </c>
      <c r="BU12" s="12">
        <f>MAX(BU9,0)-BU11</f>
        <v/>
      </c>
      <c r="BV12" s="12">
        <f>MAX(BV9,0)-BV11</f>
        <v/>
      </c>
      <c r="BW12" s="12">
        <f>MAX(BW9,0)-BW11</f>
        <v/>
      </c>
      <c r="BX12" s="12">
        <f>MAX(BX9,0)-BX11</f>
        <v/>
      </c>
      <c r="BY12" s="12">
        <f>MAX(BY9,0)-BY11</f>
        <v/>
      </c>
      <c r="BZ12" s="12">
        <f>MAX(BZ9,0)-BZ11</f>
        <v/>
      </c>
      <c r="CA12" s="12">
        <f>MAX(CA9,0)-CA11</f>
        <v/>
      </c>
      <c r="CB12" s="12">
        <f>MAX(CB9,0)-CB11</f>
        <v/>
      </c>
      <c r="CC12" s="12">
        <f>MAX(CC9,0)-CC11</f>
        <v/>
      </c>
      <c r="CD12" s="12">
        <f>MAX(CD9,0)-CD11</f>
        <v/>
      </c>
      <c r="CE12" s="12">
        <f>MAX(CE9,0)-CE11</f>
        <v/>
      </c>
      <c r="CF12" s="12">
        <f>MAX(CF9,0)-CF11</f>
        <v/>
      </c>
      <c r="CG12" s="12">
        <f>MAX(CG9,0)-CG11</f>
        <v/>
      </c>
      <c r="CH12" s="12">
        <f>MAX(CH9,0)-CH11</f>
        <v/>
      </c>
    </row>
    <row r="13">
      <c r="A13" s="3" t="inlineStr">
        <is>
          <t>Unreturned LP capital closing</t>
        </is>
      </c>
      <c r="B13" s="4" t="inlineStr">
        <is>
          <t>$</t>
        </is>
      </c>
      <c r="C13" s="12">
        <f>C5-C12</f>
        <v/>
      </c>
      <c r="D13" s="12">
        <f>D5-D12</f>
        <v/>
      </c>
      <c r="E13" s="12">
        <f>E5-E12</f>
        <v/>
      </c>
      <c r="F13" s="12">
        <f>F5-F12</f>
        <v/>
      </c>
      <c r="G13" s="12">
        <f>G5-G12</f>
        <v/>
      </c>
      <c r="H13" s="12">
        <f>H5-H12</f>
        <v/>
      </c>
      <c r="I13" s="12">
        <f>I5-I12</f>
        <v/>
      </c>
      <c r="J13" s="12">
        <f>J5-J12</f>
        <v/>
      </c>
      <c r="K13" s="12">
        <f>K5-K12</f>
        <v/>
      </c>
      <c r="L13" s="12">
        <f>L5-L12</f>
        <v/>
      </c>
      <c r="M13" s="12">
        <f>M5-M12</f>
        <v/>
      </c>
      <c r="N13" s="12">
        <f>N5-N12</f>
        <v/>
      </c>
      <c r="O13" s="12">
        <f>O5-O12</f>
        <v/>
      </c>
      <c r="P13" s="12">
        <f>P5-P12</f>
        <v/>
      </c>
      <c r="Q13" s="12">
        <f>Q5-Q12</f>
        <v/>
      </c>
      <c r="R13" s="12">
        <f>R5-R12</f>
        <v/>
      </c>
      <c r="S13" s="12">
        <f>S5-S12</f>
        <v/>
      </c>
      <c r="T13" s="12">
        <f>T5-T12</f>
        <v/>
      </c>
      <c r="U13" s="12">
        <f>U5-U12</f>
        <v/>
      </c>
      <c r="V13" s="12">
        <f>V5-V12</f>
        <v/>
      </c>
      <c r="W13" s="12">
        <f>W5-W12</f>
        <v/>
      </c>
      <c r="X13" s="12">
        <f>X5-X12</f>
        <v/>
      </c>
      <c r="Y13" s="12">
        <f>Y5-Y12</f>
        <v/>
      </c>
      <c r="Z13" s="12">
        <f>Z5-Z12</f>
        <v/>
      </c>
      <c r="AA13" s="12">
        <f>AA5-AA12</f>
        <v/>
      </c>
      <c r="AB13" s="12">
        <f>AB5-AB12</f>
        <v/>
      </c>
      <c r="AC13" s="12">
        <f>AC5-AC12</f>
        <v/>
      </c>
      <c r="AD13" s="12">
        <f>AD5-AD12</f>
        <v/>
      </c>
      <c r="AE13" s="12">
        <f>AE5-AE12</f>
        <v/>
      </c>
      <c r="AF13" s="12">
        <f>AF5-AF12</f>
        <v/>
      </c>
      <c r="AG13" s="12">
        <f>AG5-AG12</f>
        <v/>
      </c>
      <c r="AH13" s="12">
        <f>AH5-AH12</f>
        <v/>
      </c>
      <c r="AI13" s="12">
        <f>AI5-AI12</f>
        <v/>
      </c>
      <c r="AJ13" s="12">
        <f>AJ5-AJ12</f>
        <v/>
      </c>
      <c r="AK13" s="12">
        <f>AK5-AK12</f>
        <v/>
      </c>
      <c r="AL13" s="12">
        <f>AL5-AL12</f>
        <v/>
      </c>
      <c r="AM13" s="12">
        <f>AM5-AM12</f>
        <v/>
      </c>
      <c r="AN13" s="12">
        <f>AN5-AN12</f>
        <v/>
      </c>
      <c r="AO13" s="12">
        <f>AO5-AO12</f>
        <v/>
      </c>
      <c r="AP13" s="12">
        <f>AP5-AP12</f>
        <v/>
      </c>
      <c r="AQ13" s="12">
        <f>AQ5-AQ12</f>
        <v/>
      </c>
      <c r="AR13" s="12">
        <f>AR5-AR12</f>
        <v/>
      </c>
      <c r="AS13" s="12">
        <f>AS5-AS12</f>
        <v/>
      </c>
      <c r="AT13" s="12">
        <f>AT5-AT12</f>
        <v/>
      </c>
      <c r="AU13" s="12">
        <f>AU5-AU12</f>
        <v/>
      </c>
      <c r="AV13" s="12">
        <f>AV5-AV12</f>
        <v/>
      </c>
      <c r="AW13" s="12">
        <f>AW5-AW12</f>
        <v/>
      </c>
      <c r="AX13" s="12">
        <f>AX5-AX12</f>
        <v/>
      </c>
      <c r="AY13" s="12">
        <f>AY5-AY12</f>
        <v/>
      </c>
      <c r="AZ13" s="12">
        <f>AZ5-AZ12</f>
        <v/>
      </c>
      <c r="BA13" s="12">
        <f>BA5-BA12</f>
        <v/>
      </c>
      <c r="BB13" s="12">
        <f>BB5-BB12</f>
        <v/>
      </c>
      <c r="BC13" s="12">
        <f>BC5-BC12</f>
        <v/>
      </c>
      <c r="BD13" s="12">
        <f>BD5-BD12</f>
        <v/>
      </c>
      <c r="BE13" s="12">
        <f>BE5-BE12</f>
        <v/>
      </c>
      <c r="BF13" s="12">
        <f>BF5-BF12</f>
        <v/>
      </c>
      <c r="BG13" s="12">
        <f>BG5-BG12</f>
        <v/>
      </c>
      <c r="BH13" s="12">
        <f>BH5-BH12</f>
        <v/>
      </c>
      <c r="BI13" s="12">
        <f>BI5-BI12</f>
        <v/>
      </c>
      <c r="BJ13" s="12">
        <f>BJ5-BJ12</f>
        <v/>
      </c>
      <c r="BK13" s="12">
        <f>BK5-BK12</f>
        <v/>
      </c>
      <c r="BL13" s="12">
        <f>BL5-BL12</f>
        <v/>
      </c>
      <c r="BM13" s="12">
        <f>BM5-BM12</f>
        <v/>
      </c>
      <c r="BN13" s="12">
        <f>BN5-BN12</f>
        <v/>
      </c>
      <c r="BO13" s="12">
        <f>BO5-BO12</f>
        <v/>
      </c>
      <c r="BP13" s="12">
        <f>BP5-BP12</f>
        <v/>
      </c>
      <c r="BQ13" s="12">
        <f>BQ5-BQ12</f>
        <v/>
      </c>
      <c r="BR13" s="12">
        <f>BR5-BR12</f>
        <v/>
      </c>
      <c r="BS13" s="12">
        <f>BS5-BS12</f>
        <v/>
      </c>
      <c r="BT13" s="12">
        <f>BT5-BT12</f>
        <v/>
      </c>
      <c r="BU13" s="12">
        <f>BU5-BU12</f>
        <v/>
      </c>
      <c r="BV13" s="12">
        <f>BV5-BV12</f>
        <v/>
      </c>
      <c r="BW13" s="12">
        <f>BW5-BW12</f>
        <v/>
      </c>
      <c r="BX13" s="12">
        <f>BX5-BX12</f>
        <v/>
      </c>
      <c r="BY13" s="12">
        <f>BY5-BY12</f>
        <v/>
      </c>
      <c r="BZ13" s="12">
        <f>BZ5-BZ12</f>
        <v/>
      </c>
      <c r="CA13" s="12">
        <f>CA5-CA12</f>
        <v/>
      </c>
      <c r="CB13" s="12">
        <f>CB5-CB12</f>
        <v/>
      </c>
      <c r="CC13" s="12">
        <f>CC5-CC12</f>
        <v/>
      </c>
      <c r="CD13" s="12">
        <f>CD5-CD12</f>
        <v/>
      </c>
      <c r="CE13" s="12">
        <f>CE5-CE12</f>
        <v/>
      </c>
      <c r="CF13" s="12">
        <f>CF5-CF12</f>
        <v/>
      </c>
      <c r="CG13" s="12">
        <f>CG5-CG12</f>
        <v/>
      </c>
      <c r="CH13" s="12">
        <f>CH5-CH12</f>
        <v/>
      </c>
    </row>
    <row r="14">
      <c r="A14" s="3" t="inlineStr">
        <is>
          <t>Unpaid preferred closing</t>
        </is>
      </c>
      <c r="B14" s="4" t="inlineStr">
        <is>
          <t>$</t>
        </is>
      </c>
      <c r="C14" s="12">
        <f>C6+C7-C11</f>
        <v/>
      </c>
      <c r="D14" s="12">
        <f>D6+D7-D11</f>
        <v/>
      </c>
      <c r="E14" s="12">
        <f>E6+E7-E11</f>
        <v/>
      </c>
      <c r="F14" s="12">
        <f>F6+F7-F11</f>
        <v/>
      </c>
      <c r="G14" s="12">
        <f>G6+G7-G11</f>
        <v/>
      </c>
      <c r="H14" s="12">
        <f>H6+H7-H11</f>
        <v/>
      </c>
      <c r="I14" s="12">
        <f>I6+I7-I11</f>
        <v/>
      </c>
      <c r="J14" s="12">
        <f>J6+J7-J11</f>
        <v/>
      </c>
      <c r="K14" s="12">
        <f>K6+K7-K11</f>
        <v/>
      </c>
      <c r="L14" s="12">
        <f>L6+L7-L11</f>
        <v/>
      </c>
      <c r="M14" s="12">
        <f>M6+M7-M11</f>
        <v/>
      </c>
      <c r="N14" s="12">
        <f>N6+N7-N11</f>
        <v/>
      </c>
      <c r="O14" s="12">
        <f>O6+O7-O11</f>
        <v/>
      </c>
      <c r="P14" s="12">
        <f>P6+P7-P11</f>
        <v/>
      </c>
      <c r="Q14" s="12">
        <f>Q6+Q7-Q11</f>
        <v/>
      </c>
      <c r="R14" s="12">
        <f>R6+R7-R11</f>
        <v/>
      </c>
      <c r="S14" s="12">
        <f>S6+S7-S11</f>
        <v/>
      </c>
      <c r="T14" s="12">
        <f>T6+T7-T11</f>
        <v/>
      </c>
      <c r="U14" s="12">
        <f>U6+U7-U11</f>
        <v/>
      </c>
      <c r="V14" s="12">
        <f>V6+V7-V11</f>
        <v/>
      </c>
      <c r="W14" s="12">
        <f>W6+W7-W11</f>
        <v/>
      </c>
      <c r="X14" s="12">
        <f>X6+X7-X11</f>
        <v/>
      </c>
      <c r="Y14" s="12">
        <f>Y6+Y7-Y11</f>
        <v/>
      </c>
      <c r="Z14" s="12">
        <f>Z6+Z7-Z11</f>
        <v/>
      </c>
      <c r="AA14" s="12">
        <f>AA6+AA7-AA11</f>
        <v/>
      </c>
      <c r="AB14" s="12">
        <f>AB6+AB7-AB11</f>
        <v/>
      </c>
      <c r="AC14" s="12">
        <f>AC6+AC7-AC11</f>
        <v/>
      </c>
      <c r="AD14" s="12">
        <f>AD6+AD7-AD11</f>
        <v/>
      </c>
      <c r="AE14" s="12">
        <f>AE6+AE7-AE11</f>
        <v/>
      </c>
      <c r="AF14" s="12">
        <f>AF6+AF7-AF11</f>
        <v/>
      </c>
      <c r="AG14" s="12">
        <f>AG6+AG7-AG11</f>
        <v/>
      </c>
      <c r="AH14" s="12">
        <f>AH6+AH7-AH11</f>
        <v/>
      </c>
      <c r="AI14" s="12">
        <f>AI6+AI7-AI11</f>
        <v/>
      </c>
      <c r="AJ14" s="12">
        <f>AJ6+AJ7-AJ11</f>
        <v/>
      </c>
      <c r="AK14" s="12">
        <f>AK6+AK7-AK11</f>
        <v/>
      </c>
      <c r="AL14" s="12">
        <f>AL6+AL7-AL11</f>
        <v/>
      </c>
      <c r="AM14" s="12">
        <f>AM6+AM7-AM11</f>
        <v/>
      </c>
      <c r="AN14" s="12">
        <f>AN6+AN7-AN11</f>
        <v/>
      </c>
      <c r="AO14" s="12">
        <f>AO6+AO7-AO11</f>
        <v/>
      </c>
      <c r="AP14" s="12">
        <f>AP6+AP7-AP11</f>
        <v/>
      </c>
      <c r="AQ14" s="12">
        <f>AQ6+AQ7-AQ11</f>
        <v/>
      </c>
      <c r="AR14" s="12">
        <f>AR6+AR7-AR11</f>
        <v/>
      </c>
      <c r="AS14" s="12">
        <f>AS6+AS7-AS11</f>
        <v/>
      </c>
      <c r="AT14" s="12">
        <f>AT6+AT7-AT11</f>
        <v/>
      </c>
      <c r="AU14" s="12">
        <f>AU6+AU7-AU11</f>
        <v/>
      </c>
      <c r="AV14" s="12">
        <f>AV6+AV7-AV11</f>
        <v/>
      </c>
      <c r="AW14" s="12">
        <f>AW6+AW7-AW11</f>
        <v/>
      </c>
      <c r="AX14" s="12">
        <f>AX6+AX7-AX11</f>
        <v/>
      </c>
      <c r="AY14" s="12">
        <f>AY6+AY7-AY11</f>
        <v/>
      </c>
      <c r="AZ14" s="12">
        <f>AZ6+AZ7-AZ11</f>
        <v/>
      </c>
      <c r="BA14" s="12">
        <f>BA6+BA7-BA11</f>
        <v/>
      </c>
      <c r="BB14" s="12">
        <f>BB6+BB7-BB11</f>
        <v/>
      </c>
      <c r="BC14" s="12">
        <f>BC6+BC7-BC11</f>
        <v/>
      </c>
      <c r="BD14" s="12">
        <f>BD6+BD7-BD11</f>
        <v/>
      </c>
      <c r="BE14" s="12">
        <f>BE6+BE7-BE11</f>
        <v/>
      </c>
      <c r="BF14" s="12">
        <f>BF6+BF7-BF11</f>
        <v/>
      </c>
      <c r="BG14" s="12">
        <f>BG6+BG7-BG11</f>
        <v/>
      </c>
      <c r="BH14" s="12">
        <f>BH6+BH7-BH11</f>
        <v/>
      </c>
      <c r="BI14" s="12">
        <f>BI6+BI7-BI11</f>
        <v/>
      </c>
      <c r="BJ14" s="12">
        <f>BJ6+BJ7-BJ11</f>
        <v/>
      </c>
      <c r="BK14" s="12">
        <f>BK6+BK7-BK11</f>
        <v/>
      </c>
      <c r="BL14" s="12">
        <f>BL6+BL7-BL11</f>
        <v/>
      </c>
      <c r="BM14" s="12">
        <f>BM6+BM7-BM11</f>
        <v/>
      </c>
      <c r="BN14" s="12">
        <f>BN6+BN7-BN11</f>
        <v/>
      </c>
      <c r="BO14" s="12">
        <f>BO6+BO7-BO11</f>
        <v/>
      </c>
      <c r="BP14" s="12">
        <f>BP6+BP7-BP11</f>
        <v/>
      </c>
      <c r="BQ14" s="12">
        <f>BQ6+BQ7-BQ11</f>
        <v/>
      </c>
      <c r="BR14" s="12">
        <f>BR6+BR7-BR11</f>
        <v/>
      </c>
      <c r="BS14" s="12">
        <f>BS6+BS7-BS11</f>
        <v/>
      </c>
      <c r="BT14" s="12">
        <f>BT6+BT7-BT11</f>
        <v/>
      </c>
      <c r="BU14" s="12">
        <f>BU6+BU7-BU11</f>
        <v/>
      </c>
      <c r="BV14" s="12">
        <f>BV6+BV7-BV11</f>
        <v/>
      </c>
      <c r="BW14" s="12">
        <f>BW6+BW7-BW11</f>
        <v/>
      </c>
      <c r="BX14" s="12">
        <f>BX6+BX7-BX11</f>
        <v/>
      </c>
      <c r="BY14" s="12">
        <f>BY6+BY7-BY11</f>
        <v/>
      </c>
      <c r="BZ14" s="12">
        <f>BZ6+BZ7-BZ11</f>
        <v/>
      </c>
      <c r="CA14" s="12">
        <f>CA6+CA7-CA11</f>
        <v/>
      </c>
      <c r="CB14" s="12">
        <f>CB6+CB7-CB11</f>
        <v/>
      </c>
      <c r="CC14" s="12">
        <f>CC6+CC7-CC11</f>
        <v/>
      </c>
      <c r="CD14" s="12">
        <f>CD6+CD7-CD11</f>
        <v/>
      </c>
      <c r="CE14" s="12">
        <f>CE6+CE7-CE11</f>
        <v/>
      </c>
      <c r="CF14" s="12">
        <f>CF6+CF7-CF11</f>
        <v/>
      </c>
      <c r="CG14" s="12">
        <f>CG6+CG7-CG11</f>
        <v/>
      </c>
      <c r="CH14" s="12">
        <f>CH6+CH7-CH11</f>
        <v/>
      </c>
    </row>
    <row r="15">
      <c r="A15" s="3" t="inlineStr">
        <is>
          <t>Tier 1 complete</t>
        </is>
      </c>
      <c r="B15" s="4" t="inlineStr">
        <is>
          <t>1/0</t>
        </is>
      </c>
      <c r="C15" s="10">
        <f>IF(C8-MAX(C9,0)&lt;=0.01,1,0)</f>
        <v/>
      </c>
      <c r="D15" s="10">
        <f>IF(D8-MAX(D9,0)&lt;=0.01,1,0)</f>
        <v/>
      </c>
      <c r="E15" s="10">
        <f>IF(E8-MAX(E9,0)&lt;=0.01,1,0)</f>
        <v/>
      </c>
      <c r="F15" s="10">
        <f>IF(F8-MAX(F9,0)&lt;=0.01,1,0)</f>
        <v/>
      </c>
      <c r="G15" s="10">
        <f>IF(G8-MAX(G9,0)&lt;=0.01,1,0)</f>
        <v/>
      </c>
      <c r="H15" s="10">
        <f>IF(H8-MAX(H9,0)&lt;=0.01,1,0)</f>
        <v/>
      </c>
      <c r="I15" s="10">
        <f>IF(I8-MAX(I9,0)&lt;=0.01,1,0)</f>
        <v/>
      </c>
      <c r="J15" s="10">
        <f>IF(J8-MAX(J9,0)&lt;=0.01,1,0)</f>
        <v/>
      </c>
      <c r="K15" s="10">
        <f>IF(K8-MAX(K9,0)&lt;=0.01,1,0)</f>
        <v/>
      </c>
      <c r="L15" s="10">
        <f>IF(L8-MAX(L9,0)&lt;=0.01,1,0)</f>
        <v/>
      </c>
      <c r="M15" s="10">
        <f>IF(M8-MAX(M9,0)&lt;=0.01,1,0)</f>
        <v/>
      </c>
      <c r="N15" s="10">
        <f>IF(N8-MAX(N9,0)&lt;=0.01,1,0)</f>
        <v/>
      </c>
      <c r="O15" s="10">
        <f>IF(O8-MAX(O9,0)&lt;=0.01,1,0)</f>
        <v/>
      </c>
      <c r="P15" s="10">
        <f>IF(P8-MAX(P9,0)&lt;=0.01,1,0)</f>
        <v/>
      </c>
      <c r="Q15" s="10">
        <f>IF(Q8-MAX(Q9,0)&lt;=0.01,1,0)</f>
        <v/>
      </c>
      <c r="R15" s="10">
        <f>IF(R8-MAX(R9,0)&lt;=0.01,1,0)</f>
        <v/>
      </c>
      <c r="S15" s="10">
        <f>IF(S8-MAX(S9,0)&lt;=0.01,1,0)</f>
        <v/>
      </c>
      <c r="T15" s="10">
        <f>IF(T8-MAX(T9,0)&lt;=0.01,1,0)</f>
        <v/>
      </c>
      <c r="U15" s="10">
        <f>IF(U8-MAX(U9,0)&lt;=0.01,1,0)</f>
        <v/>
      </c>
      <c r="V15" s="10">
        <f>IF(V8-MAX(V9,0)&lt;=0.01,1,0)</f>
        <v/>
      </c>
      <c r="W15" s="10">
        <f>IF(W8-MAX(W9,0)&lt;=0.01,1,0)</f>
        <v/>
      </c>
      <c r="X15" s="10">
        <f>IF(X8-MAX(X9,0)&lt;=0.01,1,0)</f>
        <v/>
      </c>
      <c r="Y15" s="10">
        <f>IF(Y8-MAX(Y9,0)&lt;=0.01,1,0)</f>
        <v/>
      </c>
      <c r="Z15" s="10">
        <f>IF(Z8-MAX(Z9,0)&lt;=0.01,1,0)</f>
        <v/>
      </c>
      <c r="AA15" s="10">
        <f>IF(AA8-MAX(AA9,0)&lt;=0.01,1,0)</f>
        <v/>
      </c>
      <c r="AB15" s="10">
        <f>IF(AB8-MAX(AB9,0)&lt;=0.01,1,0)</f>
        <v/>
      </c>
      <c r="AC15" s="10">
        <f>IF(AC8-MAX(AC9,0)&lt;=0.01,1,0)</f>
        <v/>
      </c>
      <c r="AD15" s="10">
        <f>IF(AD8-MAX(AD9,0)&lt;=0.01,1,0)</f>
        <v/>
      </c>
      <c r="AE15" s="10">
        <f>IF(AE8-MAX(AE9,0)&lt;=0.01,1,0)</f>
        <v/>
      </c>
      <c r="AF15" s="10">
        <f>IF(AF8-MAX(AF9,0)&lt;=0.01,1,0)</f>
        <v/>
      </c>
      <c r="AG15" s="10">
        <f>IF(AG8-MAX(AG9,0)&lt;=0.01,1,0)</f>
        <v/>
      </c>
      <c r="AH15" s="10">
        <f>IF(AH8-MAX(AH9,0)&lt;=0.01,1,0)</f>
        <v/>
      </c>
      <c r="AI15" s="10">
        <f>IF(AI8-MAX(AI9,0)&lt;=0.01,1,0)</f>
        <v/>
      </c>
      <c r="AJ15" s="10">
        <f>IF(AJ8-MAX(AJ9,0)&lt;=0.01,1,0)</f>
        <v/>
      </c>
      <c r="AK15" s="10">
        <f>IF(AK8-MAX(AK9,0)&lt;=0.01,1,0)</f>
        <v/>
      </c>
      <c r="AL15" s="10">
        <f>IF(AL8-MAX(AL9,0)&lt;=0.01,1,0)</f>
        <v/>
      </c>
      <c r="AM15" s="10">
        <f>IF(AM8-MAX(AM9,0)&lt;=0.01,1,0)</f>
        <v/>
      </c>
      <c r="AN15" s="10">
        <f>IF(AN8-MAX(AN9,0)&lt;=0.01,1,0)</f>
        <v/>
      </c>
      <c r="AO15" s="10">
        <f>IF(AO8-MAX(AO9,0)&lt;=0.01,1,0)</f>
        <v/>
      </c>
      <c r="AP15" s="10">
        <f>IF(AP8-MAX(AP9,0)&lt;=0.01,1,0)</f>
        <v/>
      </c>
      <c r="AQ15" s="10">
        <f>IF(AQ8-MAX(AQ9,0)&lt;=0.01,1,0)</f>
        <v/>
      </c>
      <c r="AR15" s="10">
        <f>IF(AR8-MAX(AR9,0)&lt;=0.01,1,0)</f>
        <v/>
      </c>
      <c r="AS15" s="10">
        <f>IF(AS8-MAX(AS9,0)&lt;=0.01,1,0)</f>
        <v/>
      </c>
      <c r="AT15" s="10">
        <f>IF(AT8-MAX(AT9,0)&lt;=0.01,1,0)</f>
        <v/>
      </c>
      <c r="AU15" s="10">
        <f>IF(AU8-MAX(AU9,0)&lt;=0.01,1,0)</f>
        <v/>
      </c>
      <c r="AV15" s="10">
        <f>IF(AV8-MAX(AV9,0)&lt;=0.01,1,0)</f>
        <v/>
      </c>
      <c r="AW15" s="10">
        <f>IF(AW8-MAX(AW9,0)&lt;=0.01,1,0)</f>
        <v/>
      </c>
      <c r="AX15" s="10">
        <f>IF(AX8-MAX(AX9,0)&lt;=0.01,1,0)</f>
        <v/>
      </c>
      <c r="AY15" s="10">
        <f>IF(AY8-MAX(AY9,0)&lt;=0.01,1,0)</f>
        <v/>
      </c>
      <c r="AZ15" s="10">
        <f>IF(AZ8-MAX(AZ9,0)&lt;=0.01,1,0)</f>
        <v/>
      </c>
      <c r="BA15" s="10">
        <f>IF(BA8-MAX(BA9,0)&lt;=0.01,1,0)</f>
        <v/>
      </c>
      <c r="BB15" s="10">
        <f>IF(BB8-MAX(BB9,0)&lt;=0.01,1,0)</f>
        <v/>
      </c>
      <c r="BC15" s="10">
        <f>IF(BC8-MAX(BC9,0)&lt;=0.01,1,0)</f>
        <v/>
      </c>
      <c r="BD15" s="10">
        <f>IF(BD8-MAX(BD9,0)&lt;=0.01,1,0)</f>
        <v/>
      </c>
      <c r="BE15" s="10">
        <f>IF(BE8-MAX(BE9,0)&lt;=0.01,1,0)</f>
        <v/>
      </c>
      <c r="BF15" s="10">
        <f>IF(BF8-MAX(BF9,0)&lt;=0.01,1,0)</f>
        <v/>
      </c>
      <c r="BG15" s="10">
        <f>IF(BG8-MAX(BG9,0)&lt;=0.01,1,0)</f>
        <v/>
      </c>
      <c r="BH15" s="10">
        <f>IF(BH8-MAX(BH9,0)&lt;=0.01,1,0)</f>
        <v/>
      </c>
      <c r="BI15" s="10">
        <f>IF(BI8-MAX(BI9,0)&lt;=0.01,1,0)</f>
        <v/>
      </c>
      <c r="BJ15" s="10">
        <f>IF(BJ8-MAX(BJ9,0)&lt;=0.01,1,0)</f>
        <v/>
      </c>
      <c r="BK15" s="10">
        <f>IF(BK8-MAX(BK9,0)&lt;=0.01,1,0)</f>
        <v/>
      </c>
      <c r="BL15" s="10">
        <f>IF(BL8-MAX(BL9,0)&lt;=0.01,1,0)</f>
        <v/>
      </c>
      <c r="BM15" s="10">
        <f>IF(BM8-MAX(BM9,0)&lt;=0.01,1,0)</f>
        <v/>
      </c>
      <c r="BN15" s="10">
        <f>IF(BN8-MAX(BN9,0)&lt;=0.01,1,0)</f>
        <v/>
      </c>
      <c r="BO15" s="10">
        <f>IF(BO8-MAX(BO9,0)&lt;=0.01,1,0)</f>
        <v/>
      </c>
      <c r="BP15" s="10">
        <f>IF(BP8-MAX(BP9,0)&lt;=0.01,1,0)</f>
        <v/>
      </c>
      <c r="BQ15" s="10">
        <f>IF(BQ8-MAX(BQ9,0)&lt;=0.01,1,0)</f>
        <v/>
      </c>
      <c r="BR15" s="10">
        <f>IF(BR8-MAX(BR9,0)&lt;=0.01,1,0)</f>
        <v/>
      </c>
      <c r="BS15" s="10">
        <f>IF(BS8-MAX(BS9,0)&lt;=0.01,1,0)</f>
        <v/>
      </c>
      <c r="BT15" s="10">
        <f>IF(BT8-MAX(BT9,0)&lt;=0.01,1,0)</f>
        <v/>
      </c>
      <c r="BU15" s="10">
        <f>IF(BU8-MAX(BU9,0)&lt;=0.01,1,0)</f>
        <v/>
      </c>
      <c r="BV15" s="10">
        <f>IF(BV8-MAX(BV9,0)&lt;=0.01,1,0)</f>
        <v/>
      </c>
      <c r="BW15" s="10">
        <f>IF(BW8-MAX(BW9,0)&lt;=0.01,1,0)</f>
        <v/>
      </c>
      <c r="BX15" s="10">
        <f>IF(BX8-MAX(BX9,0)&lt;=0.01,1,0)</f>
        <v/>
      </c>
      <c r="BY15" s="10">
        <f>IF(BY8-MAX(BY9,0)&lt;=0.01,1,0)</f>
        <v/>
      </c>
      <c r="BZ15" s="10">
        <f>IF(BZ8-MAX(BZ9,0)&lt;=0.01,1,0)</f>
        <v/>
      </c>
      <c r="CA15" s="10">
        <f>IF(CA8-MAX(CA9,0)&lt;=0.01,1,0)</f>
        <v/>
      </c>
      <c r="CB15" s="10">
        <f>IF(CB8-MAX(CB9,0)&lt;=0.01,1,0)</f>
        <v/>
      </c>
      <c r="CC15" s="10">
        <f>IF(CC8-MAX(CC9,0)&lt;=0.01,1,0)</f>
        <v/>
      </c>
      <c r="CD15" s="10">
        <f>IF(CD8-MAX(CD9,0)&lt;=0.01,1,0)</f>
        <v/>
      </c>
      <c r="CE15" s="10">
        <f>IF(CE8-MAX(CE9,0)&lt;=0.01,1,0)</f>
        <v/>
      </c>
      <c r="CF15" s="10">
        <f>IF(CF8-MAX(CF9,0)&lt;=0.01,1,0)</f>
        <v/>
      </c>
      <c r="CG15" s="10">
        <f>IF(CG8-MAX(CG9,0)&lt;=0.01,1,0)</f>
        <v/>
      </c>
      <c r="CH15" s="10">
        <f>IF(CH8-MAX(CH9,0)&lt;=0.01,1,0)</f>
        <v/>
      </c>
    </row>
    <row r="16">
      <c r="A16" s="3" t="inlineStr">
        <is>
          <t>Cumulative preferred paid</t>
        </is>
      </c>
      <c r="B16" s="4" t="inlineStr">
        <is>
          <t>$</t>
        </is>
      </c>
      <c r="C16" s="12">
        <f>C11</f>
        <v/>
      </c>
      <c r="D16" s="12">
        <f>C16+D11</f>
        <v/>
      </c>
      <c r="E16" s="12">
        <f>D16+E11</f>
        <v/>
      </c>
      <c r="F16" s="12">
        <f>E16+F11</f>
        <v/>
      </c>
      <c r="G16" s="12">
        <f>F16+G11</f>
        <v/>
      </c>
      <c r="H16" s="12">
        <f>G16+H11</f>
        <v/>
      </c>
      <c r="I16" s="12">
        <f>H16+I11</f>
        <v/>
      </c>
      <c r="J16" s="12">
        <f>I16+J11</f>
        <v/>
      </c>
      <c r="K16" s="12">
        <f>J16+K11</f>
        <v/>
      </c>
      <c r="L16" s="12">
        <f>K16+L11</f>
        <v/>
      </c>
      <c r="M16" s="12">
        <f>L16+M11</f>
        <v/>
      </c>
      <c r="N16" s="12">
        <f>M16+N11</f>
        <v/>
      </c>
      <c r="O16" s="12">
        <f>N16+O11</f>
        <v/>
      </c>
      <c r="P16" s="12">
        <f>O16+P11</f>
        <v/>
      </c>
      <c r="Q16" s="12">
        <f>P16+Q11</f>
        <v/>
      </c>
      <c r="R16" s="12">
        <f>Q16+R11</f>
        <v/>
      </c>
      <c r="S16" s="12">
        <f>R16+S11</f>
        <v/>
      </c>
      <c r="T16" s="12">
        <f>S16+T11</f>
        <v/>
      </c>
      <c r="U16" s="12">
        <f>T16+U11</f>
        <v/>
      </c>
      <c r="V16" s="12">
        <f>U16+V11</f>
        <v/>
      </c>
      <c r="W16" s="12">
        <f>V16+W11</f>
        <v/>
      </c>
      <c r="X16" s="12">
        <f>W16+X11</f>
        <v/>
      </c>
      <c r="Y16" s="12">
        <f>X16+Y11</f>
        <v/>
      </c>
      <c r="Z16" s="12">
        <f>Y16+Z11</f>
        <v/>
      </c>
      <c r="AA16" s="12">
        <f>Z16+AA11</f>
        <v/>
      </c>
      <c r="AB16" s="12">
        <f>AA16+AB11</f>
        <v/>
      </c>
      <c r="AC16" s="12">
        <f>AB16+AC11</f>
        <v/>
      </c>
      <c r="AD16" s="12">
        <f>AC16+AD11</f>
        <v/>
      </c>
      <c r="AE16" s="12">
        <f>AD16+AE11</f>
        <v/>
      </c>
      <c r="AF16" s="12">
        <f>AE16+AF11</f>
        <v/>
      </c>
      <c r="AG16" s="12">
        <f>AF16+AG11</f>
        <v/>
      </c>
      <c r="AH16" s="12">
        <f>AG16+AH11</f>
        <v/>
      </c>
      <c r="AI16" s="12">
        <f>AH16+AI11</f>
        <v/>
      </c>
      <c r="AJ16" s="12">
        <f>AI16+AJ11</f>
        <v/>
      </c>
      <c r="AK16" s="12">
        <f>AJ16+AK11</f>
        <v/>
      </c>
      <c r="AL16" s="12">
        <f>AK16+AL11</f>
        <v/>
      </c>
      <c r="AM16" s="12">
        <f>AL16+AM11</f>
        <v/>
      </c>
      <c r="AN16" s="12">
        <f>AM16+AN11</f>
        <v/>
      </c>
      <c r="AO16" s="12">
        <f>AN16+AO11</f>
        <v/>
      </c>
      <c r="AP16" s="12">
        <f>AO16+AP11</f>
        <v/>
      </c>
      <c r="AQ16" s="12">
        <f>AP16+AQ11</f>
        <v/>
      </c>
      <c r="AR16" s="12">
        <f>AQ16+AR11</f>
        <v/>
      </c>
      <c r="AS16" s="12">
        <f>AR16+AS11</f>
        <v/>
      </c>
      <c r="AT16" s="12">
        <f>AS16+AT11</f>
        <v/>
      </c>
      <c r="AU16" s="12">
        <f>AT16+AU11</f>
        <v/>
      </c>
      <c r="AV16" s="12">
        <f>AU16+AV11</f>
        <v/>
      </c>
      <c r="AW16" s="12">
        <f>AV16+AW11</f>
        <v/>
      </c>
      <c r="AX16" s="12">
        <f>AW16+AX11</f>
        <v/>
      </c>
      <c r="AY16" s="12">
        <f>AX16+AY11</f>
        <v/>
      </c>
      <c r="AZ16" s="12">
        <f>AY16+AZ11</f>
        <v/>
      </c>
      <c r="BA16" s="12">
        <f>AZ16+BA11</f>
        <v/>
      </c>
      <c r="BB16" s="12">
        <f>BA16+BB11</f>
        <v/>
      </c>
      <c r="BC16" s="12">
        <f>BB16+BC11</f>
        <v/>
      </c>
      <c r="BD16" s="12">
        <f>BC16+BD11</f>
        <v/>
      </c>
      <c r="BE16" s="12">
        <f>BD16+BE11</f>
        <v/>
      </c>
      <c r="BF16" s="12">
        <f>BE16+BF11</f>
        <v/>
      </c>
      <c r="BG16" s="12">
        <f>BF16+BG11</f>
        <v/>
      </c>
      <c r="BH16" s="12">
        <f>BG16+BH11</f>
        <v/>
      </c>
      <c r="BI16" s="12">
        <f>BH16+BI11</f>
        <v/>
      </c>
      <c r="BJ16" s="12">
        <f>BI16+BJ11</f>
        <v/>
      </c>
      <c r="BK16" s="12">
        <f>BJ16+BK11</f>
        <v/>
      </c>
      <c r="BL16" s="12">
        <f>BK16+BL11</f>
        <v/>
      </c>
      <c r="BM16" s="12">
        <f>BL16+BM11</f>
        <v/>
      </c>
      <c r="BN16" s="12">
        <f>BM16+BN11</f>
        <v/>
      </c>
      <c r="BO16" s="12">
        <f>BN16+BO11</f>
        <v/>
      </c>
      <c r="BP16" s="12">
        <f>BO16+BP11</f>
        <v/>
      </c>
      <c r="BQ16" s="12">
        <f>BP16+BQ11</f>
        <v/>
      </c>
      <c r="BR16" s="12">
        <f>BQ16+BR11</f>
        <v/>
      </c>
      <c r="BS16" s="12">
        <f>BR16+BS11</f>
        <v/>
      </c>
      <c r="BT16" s="12">
        <f>BS16+BT11</f>
        <v/>
      </c>
      <c r="BU16" s="12">
        <f>BT16+BU11</f>
        <v/>
      </c>
      <c r="BV16" s="12">
        <f>BU16+BV11</f>
        <v/>
      </c>
      <c r="BW16" s="12">
        <f>BV16+BW11</f>
        <v/>
      </c>
      <c r="BX16" s="12">
        <f>BW16+BX11</f>
        <v/>
      </c>
      <c r="BY16" s="12">
        <f>BX16+BY11</f>
        <v/>
      </c>
      <c r="BZ16" s="12">
        <f>BY16+BZ11</f>
        <v/>
      </c>
      <c r="CA16" s="12">
        <f>BZ16+CA11</f>
        <v/>
      </c>
      <c r="CB16" s="12">
        <f>CA16+CB11</f>
        <v/>
      </c>
      <c r="CC16" s="12">
        <f>CB16+CC11</f>
        <v/>
      </c>
      <c r="CD16" s="12">
        <f>CC16+CD11</f>
        <v/>
      </c>
      <c r="CE16" s="12">
        <f>CD16+CE11</f>
        <v/>
      </c>
      <c r="CF16" s="12">
        <f>CE16+CF11</f>
        <v/>
      </c>
      <c r="CG16" s="12">
        <f>CF16+CG11</f>
        <v/>
      </c>
      <c r="CH16" s="12">
        <f>CG16+CH11</f>
        <v/>
      </c>
    </row>
    <row r="17">
      <c r="A17" s="3" t="inlineStr">
        <is>
          <t>Tier 2 target</t>
        </is>
      </c>
      <c r="B17" s="4" t="inlineStr">
        <is>
          <t>$</t>
        </is>
      </c>
      <c r="C17" s="12">
        <f>IF(C15=1,CATCHUP_PCT/(1-CATCHUP_PCT)*C16,0)</f>
        <v/>
      </c>
      <c r="D17" s="12">
        <f>IF(D15=1,CATCHUP_PCT/(1-CATCHUP_PCT)*D16,0)</f>
        <v/>
      </c>
      <c r="E17" s="12">
        <f>IF(E15=1,CATCHUP_PCT/(1-CATCHUP_PCT)*E16,0)</f>
        <v/>
      </c>
      <c r="F17" s="12">
        <f>IF(F15=1,CATCHUP_PCT/(1-CATCHUP_PCT)*F16,0)</f>
        <v/>
      </c>
      <c r="G17" s="12">
        <f>IF(G15=1,CATCHUP_PCT/(1-CATCHUP_PCT)*G16,0)</f>
        <v/>
      </c>
      <c r="H17" s="12">
        <f>IF(H15=1,CATCHUP_PCT/(1-CATCHUP_PCT)*H16,0)</f>
        <v/>
      </c>
      <c r="I17" s="12">
        <f>IF(I15=1,CATCHUP_PCT/(1-CATCHUP_PCT)*I16,0)</f>
        <v/>
      </c>
      <c r="J17" s="12">
        <f>IF(J15=1,CATCHUP_PCT/(1-CATCHUP_PCT)*J16,0)</f>
        <v/>
      </c>
      <c r="K17" s="12">
        <f>IF(K15=1,CATCHUP_PCT/(1-CATCHUP_PCT)*K16,0)</f>
        <v/>
      </c>
      <c r="L17" s="12">
        <f>IF(L15=1,CATCHUP_PCT/(1-CATCHUP_PCT)*L16,0)</f>
        <v/>
      </c>
      <c r="M17" s="12">
        <f>IF(M15=1,CATCHUP_PCT/(1-CATCHUP_PCT)*M16,0)</f>
        <v/>
      </c>
      <c r="N17" s="12">
        <f>IF(N15=1,CATCHUP_PCT/(1-CATCHUP_PCT)*N16,0)</f>
        <v/>
      </c>
      <c r="O17" s="12">
        <f>IF(O15=1,CATCHUP_PCT/(1-CATCHUP_PCT)*O16,0)</f>
        <v/>
      </c>
      <c r="P17" s="12">
        <f>IF(P15=1,CATCHUP_PCT/(1-CATCHUP_PCT)*P16,0)</f>
        <v/>
      </c>
      <c r="Q17" s="12">
        <f>IF(Q15=1,CATCHUP_PCT/(1-CATCHUP_PCT)*Q16,0)</f>
        <v/>
      </c>
      <c r="R17" s="12">
        <f>IF(R15=1,CATCHUP_PCT/(1-CATCHUP_PCT)*R16,0)</f>
        <v/>
      </c>
      <c r="S17" s="12">
        <f>IF(S15=1,CATCHUP_PCT/(1-CATCHUP_PCT)*S16,0)</f>
        <v/>
      </c>
      <c r="T17" s="12">
        <f>IF(T15=1,CATCHUP_PCT/(1-CATCHUP_PCT)*T16,0)</f>
        <v/>
      </c>
      <c r="U17" s="12">
        <f>IF(U15=1,CATCHUP_PCT/(1-CATCHUP_PCT)*U16,0)</f>
        <v/>
      </c>
      <c r="V17" s="12">
        <f>IF(V15=1,CATCHUP_PCT/(1-CATCHUP_PCT)*V16,0)</f>
        <v/>
      </c>
      <c r="W17" s="12">
        <f>IF(W15=1,CATCHUP_PCT/(1-CATCHUP_PCT)*W16,0)</f>
        <v/>
      </c>
      <c r="X17" s="12">
        <f>IF(X15=1,CATCHUP_PCT/(1-CATCHUP_PCT)*X16,0)</f>
        <v/>
      </c>
      <c r="Y17" s="12">
        <f>IF(Y15=1,CATCHUP_PCT/(1-CATCHUP_PCT)*Y16,0)</f>
        <v/>
      </c>
      <c r="Z17" s="12">
        <f>IF(Z15=1,CATCHUP_PCT/(1-CATCHUP_PCT)*Z16,0)</f>
        <v/>
      </c>
      <c r="AA17" s="12">
        <f>IF(AA15=1,CATCHUP_PCT/(1-CATCHUP_PCT)*AA16,0)</f>
        <v/>
      </c>
      <c r="AB17" s="12">
        <f>IF(AB15=1,CATCHUP_PCT/(1-CATCHUP_PCT)*AB16,0)</f>
        <v/>
      </c>
      <c r="AC17" s="12">
        <f>IF(AC15=1,CATCHUP_PCT/(1-CATCHUP_PCT)*AC16,0)</f>
        <v/>
      </c>
      <c r="AD17" s="12">
        <f>IF(AD15=1,CATCHUP_PCT/(1-CATCHUP_PCT)*AD16,0)</f>
        <v/>
      </c>
      <c r="AE17" s="12">
        <f>IF(AE15=1,CATCHUP_PCT/(1-CATCHUP_PCT)*AE16,0)</f>
        <v/>
      </c>
      <c r="AF17" s="12">
        <f>IF(AF15=1,CATCHUP_PCT/(1-CATCHUP_PCT)*AF16,0)</f>
        <v/>
      </c>
      <c r="AG17" s="12">
        <f>IF(AG15=1,CATCHUP_PCT/(1-CATCHUP_PCT)*AG16,0)</f>
        <v/>
      </c>
      <c r="AH17" s="12">
        <f>IF(AH15=1,CATCHUP_PCT/(1-CATCHUP_PCT)*AH16,0)</f>
        <v/>
      </c>
      <c r="AI17" s="12">
        <f>IF(AI15=1,CATCHUP_PCT/(1-CATCHUP_PCT)*AI16,0)</f>
        <v/>
      </c>
      <c r="AJ17" s="12">
        <f>IF(AJ15=1,CATCHUP_PCT/(1-CATCHUP_PCT)*AJ16,0)</f>
        <v/>
      </c>
      <c r="AK17" s="12">
        <f>IF(AK15=1,CATCHUP_PCT/(1-CATCHUP_PCT)*AK16,0)</f>
        <v/>
      </c>
      <c r="AL17" s="12">
        <f>IF(AL15=1,CATCHUP_PCT/(1-CATCHUP_PCT)*AL16,0)</f>
        <v/>
      </c>
      <c r="AM17" s="12">
        <f>IF(AM15=1,CATCHUP_PCT/(1-CATCHUP_PCT)*AM16,0)</f>
        <v/>
      </c>
      <c r="AN17" s="12">
        <f>IF(AN15=1,CATCHUP_PCT/(1-CATCHUP_PCT)*AN16,0)</f>
        <v/>
      </c>
      <c r="AO17" s="12">
        <f>IF(AO15=1,CATCHUP_PCT/(1-CATCHUP_PCT)*AO16,0)</f>
        <v/>
      </c>
      <c r="AP17" s="12">
        <f>IF(AP15=1,CATCHUP_PCT/(1-CATCHUP_PCT)*AP16,0)</f>
        <v/>
      </c>
      <c r="AQ17" s="12">
        <f>IF(AQ15=1,CATCHUP_PCT/(1-CATCHUP_PCT)*AQ16,0)</f>
        <v/>
      </c>
      <c r="AR17" s="12">
        <f>IF(AR15=1,CATCHUP_PCT/(1-CATCHUP_PCT)*AR16,0)</f>
        <v/>
      </c>
      <c r="AS17" s="12">
        <f>IF(AS15=1,CATCHUP_PCT/(1-CATCHUP_PCT)*AS16,0)</f>
        <v/>
      </c>
      <c r="AT17" s="12">
        <f>IF(AT15=1,CATCHUP_PCT/(1-CATCHUP_PCT)*AT16,0)</f>
        <v/>
      </c>
      <c r="AU17" s="12">
        <f>IF(AU15=1,CATCHUP_PCT/(1-CATCHUP_PCT)*AU16,0)</f>
        <v/>
      </c>
      <c r="AV17" s="12">
        <f>IF(AV15=1,CATCHUP_PCT/(1-CATCHUP_PCT)*AV16,0)</f>
        <v/>
      </c>
      <c r="AW17" s="12">
        <f>IF(AW15=1,CATCHUP_PCT/(1-CATCHUP_PCT)*AW16,0)</f>
        <v/>
      </c>
      <c r="AX17" s="12">
        <f>IF(AX15=1,CATCHUP_PCT/(1-CATCHUP_PCT)*AX16,0)</f>
        <v/>
      </c>
      <c r="AY17" s="12">
        <f>IF(AY15=1,CATCHUP_PCT/(1-CATCHUP_PCT)*AY16,0)</f>
        <v/>
      </c>
      <c r="AZ17" s="12">
        <f>IF(AZ15=1,CATCHUP_PCT/(1-CATCHUP_PCT)*AZ16,0)</f>
        <v/>
      </c>
      <c r="BA17" s="12">
        <f>IF(BA15=1,CATCHUP_PCT/(1-CATCHUP_PCT)*BA16,0)</f>
        <v/>
      </c>
      <c r="BB17" s="12">
        <f>IF(BB15=1,CATCHUP_PCT/(1-CATCHUP_PCT)*BB16,0)</f>
        <v/>
      </c>
      <c r="BC17" s="12">
        <f>IF(BC15=1,CATCHUP_PCT/(1-CATCHUP_PCT)*BC16,0)</f>
        <v/>
      </c>
      <c r="BD17" s="12">
        <f>IF(BD15=1,CATCHUP_PCT/(1-CATCHUP_PCT)*BD16,0)</f>
        <v/>
      </c>
      <c r="BE17" s="12">
        <f>IF(BE15=1,CATCHUP_PCT/(1-CATCHUP_PCT)*BE16,0)</f>
        <v/>
      </c>
      <c r="BF17" s="12">
        <f>IF(BF15=1,CATCHUP_PCT/(1-CATCHUP_PCT)*BF16,0)</f>
        <v/>
      </c>
      <c r="BG17" s="12">
        <f>IF(BG15=1,CATCHUP_PCT/(1-CATCHUP_PCT)*BG16,0)</f>
        <v/>
      </c>
      <c r="BH17" s="12">
        <f>IF(BH15=1,CATCHUP_PCT/(1-CATCHUP_PCT)*BH16,0)</f>
        <v/>
      </c>
      <c r="BI17" s="12">
        <f>IF(BI15=1,CATCHUP_PCT/(1-CATCHUP_PCT)*BI16,0)</f>
        <v/>
      </c>
      <c r="BJ17" s="12">
        <f>IF(BJ15=1,CATCHUP_PCT/(1-CATCHUP_PCT)*BJ16,0)</f>
        <v/>
      </c>
      <c r="BK17" s="12">
        <f>IF(BK15=1,CATCHUP_PCT/(1-CATCHUP_PCT)*BK16,0)</f>
        <v/>
      </c>
      <c r="BL17" s="12">
        <f>IF(BL15=1,CATCHUP_PCT/(1-CATCHUP_PCT)*BL16,0)</f>
        <v/>
      </c>
      <c r="BM17" s="12">
        <f>IF(BM15=1,CATCHUP_PCT/(1-CATCHUP_PCT)*BM16,0)</f>
        <v/>
      </c>
      <c r="BN17" s="12">
        <f>IF(BN15=1,CATCHUP_PCT/(1-CATCHUP_PCT)*BN16,0)</f>
        <v/>
      </c>
      <c r="BO17" s="12">
        <f>IF(BO15=1,CATCHUP_PCT/(1-CATCHUP_PCT)*BO16,0)</f>
        <v/>
      </c>
      <c r="BP17" s="12">
        <f>IF(BP15=1,CATCHUP_PCT/(1-CATCHUP_PCT)*BP16,0)</f>
        <v/>
      </c>
      <c r="BQ17" s="12">
        <f>IF(BQ15=1,CATCHUP_PCT/(1-CATCHUP_PCT)*BQ16,0)</f>
        <v/>
      </c>
      <c r="BR17" s="12">
        <f>IF(BR15=1,CATCHUP_PCT/(1-CATCHUP_PCT)*BR16,0)</f>
        <v/>
      </c>
      <c r="BS17" s="12">
        <f>IF(BS15=1,CATCHUP_PCT/(1-CATCHUP_PCT)*BS16,0)</f>
        <v/>
      </c>
      <c r="BT17" s="12">
        <f>IF(BT15=1,CATCHUP_PCT/(1-CATCHUP_PCT)*BT16,0)</f>
        <v/>
      </c>
      <c r="BU17" s="12">
        <f>IF(BU15=1,CATCHUP_PCT/(1-CATCHUP_PCT)*BU16,0)</f>
        <v/>
      </c>
      <c r="BV17" s="12">
        <f>IF(BV15=1,CATCHUP_PCT/(1-CATCHUP_PCT)*BV16,0)</f>
        <v/>
      </c>
      <c r="BW17" s="12">
        <f>IF(BW15=1,CATCHUP_PCT/(1-CATCHUP_PCT)*BW16,0)</f>
        <v/>
      </c>
      <c r="BX17" s="12">
        <f>IF(BX15=1,CATCHUP_PCT/(1-CATCHUP_PCT)*BX16,0)</f>
        <v/>
      </c>
      <c r="BY17" s="12">
        <f>IF(BY15=1,CATCHUP_PCT/(1-CATCHUP_PCT)*BY16,0)</f>
        <v/>
      </c>
      <c r="BZ17" s="12">
        <f>IF(BZ15=1,CATCHUP_PCT/(1-CATCHUP_PCT)*BZ16,0)</f>
        <v/>
      </c>
      <c r="CA17" s="12">
        <f>IF(CA15=1,CATCHUP_PCT/(1-CATCHUP_PCT)*CA16,0)</f>
        <v/>
      </c>
      <c r="CB17" s="12">
        <f>IF(CB15=1,CATCHUP_PCT/(1-CATCHUP_PCT)*CB16,0)</f>
        <v/>
      </c>
      <c r="CC17" s="12">
        <f>IF(CC15=1,CATCHUP_PCT/(1-CATCHUP_PCT)*CC16,0)</f>
        <v/>
      </c>
      <c r="CD17" s="12">
        <f>IF(CD15=1,CATCHUP_PCT/(1-CATCHUP_PCT)*CD16,0)</f>
        <v/>
      </c>
      <c r="CE17" s="12">
        <f>IF(CE15=1,CATCHUP_PCT/(1-CATCHUP_PCT)*CE16,0)</f>
        <v/>
      </c>
      <c r="CF17" s="12">
        <f>IF(CF15=1,CATCHUP_PCT/(1-CATCHUP_PCT)*CF16,0)</f>
        <v/>
      </c>
      <c r="CG17" s="12">
        <f>IF(CG15=1,CATCHUP_PCT/(1-CATCHUP_PCT)*CG16,0)</f>
        <v/>
      </c>
      <c r="CH17" s="12">
        <f>IF(CH15=1,CATCHUP_PCT/(1-CATCHUP_PCT)*CH16,0)</f>
        <v/>
      </c>
    </row>
    <row r="18">
      <c r="A18" s="3" t="inlineStr">
        <is>
          <t>Tier 2 previously paid</t>
        </is>
      </c>
      <c r="B18" s="4" t="inlineStr">
        <is>
          <t>$</t>
        </is>
      </c>
      <c r="C18" s="12">
        <f>0</f>
        <v/>
      </c>
      <c r="D18" s="12">
        <f>C21</f>
        <v/>
      </c>
      <c r="E18" s="12">
        <f>D21</f>
        <v/>
      </c>
      <c r="F18" s="12">
        <f>E21</f>
        <v/>
      </c>
      <c r="G18" s="12">
        <f>F21</f>
        <v/>
      </c>
      <c r="H18" s="12">
        <f>G21</f>
        <v/>
      </c>
      <c r="I18" s="12">
        <f>H21</f>
        <v/>
      </c>
      <c r="J18" s="12">
        <f>I21</f>
        <v/>
      </c>
      <c r="K18" s="12">
        <f>J21</f>
        <v/>
      </c>
      <c r="L18" s="12">
        <f>K21</f>
        <v/>
      </c>
      <c r="M18" s="12">
        <f>L21</f>
        <v/>
      </c>
      <c r="N18" s="12">
        <f>M21</f>
        <v/>
      </c>
      <c r="O18" s="12">
        <f>N21</f>
        <v/>
      </c>
      <c r="P18" s="12">
        <f>O21</f>
        <v/>
      </c>
      <c r="Q18" s="12">
        <f>P21</f>
        <v/>
      </c>
      <c r="R18" s="12">
        <f>Q21</f>
        <v/>
      </c>
      <c r="S18" s="12">
        <f>R21</f>
        <v/>
      </c>
      <c r="T18" s="12">
        <f>S21</f>
        <v/>
      </c>
      <c r="U18" s="12">
        <f>T21</f>
        <v/>
      </c>
      <c r="V18" s="12">
        <f>U21</f>
        <v/>
      </c>
      <c r="W18" s="12">
        <f>V21</f>
        <v/>
      </c>
      <c r="X18" s="12">
        <f>W21</f>
        <v/>
      </c>
      <c r="Y18" s="12">
        <f>X21</f>
        <v/>
      </c>
      <c r="Z18" s="12">
        <f>Y21</f>
        <v/>
      </c>
      <c r="AA18" s="12">
        <f>Z21</f>
        <v/>
      </c>
      <c r="AB18" s="12">
        <f>AA21</f>
        <v/>
      </c>
      <c r="AC18" s="12">
        <f>AB21</f>
        <v/>
      </c>
      <c r="AD18" s="12">
        <f>AC21</f>
        <v/>
      </c>
      <c r="AE18" s="12">
        <f>AD21</f>
        <v/>
      </c>
      <c r="AF18" s="12">
        <f>AE21</f>
        <v/>
      </c>
      <c r="AG18" s="12">
        <f>AF21</f>
        <v/>
      </c>
      <c r="AH18" s="12">
        <f>AG21</f>
        <v/>
      </c>
      <c r="AI18" s="12">
        <f>AH21</f>
        <v/>
      </c>
      <c r="AJ18" s="12">
        <f>AI21</f>
        <v/>
      </c>
      <c r="AK18" s="12">
        <f>AJ21</f>
        <v/>
      </c>
      <c r="AL18" s="12">
        <f>AK21</f>
        <v/>
      </c>
      <c r="AM18" s="12">
        <f>AL21</f>
        <v/>
      </c>
      <c r="AN18" s="12">
        <f>AM21</f>
        <v/>
      </c>
      <c r="AO18" s="12">
        <f>AN21</f>
        <v/>
      </c>
      <c r="AP18" s="12">
        <f>AO21</f>
        <v/>
      </c>
      <c r="AQ18" s="12">
        <f>AP21</f>
        <v/>
      </c>
      <c r="AR18" s="12">
        <f>AQ21</f>
        <v/>
      </c>
      <c r="AS18" s="12">
        <f>AR21</f>
        <v/>
      </c>
      <c r="AT18" s="12">
        <f>AS21</f>
        <v/>
      </c>
      <c r="AU18" s="12">
        <f>AT21</f>
        <v/>
      </c>
      <c r="AV18" s="12">
        <f>AU21</f>
        <v/>
      </c>
      <c r="AW18" s="12">
        <f>AV21</f>
        <v/>
      </c>
      <c r="AX18" s="12">
        <f>AW21</f>
        <v/>
      </c>
      <c r="AY18" s="12">
        <f>AX21</f>
        <v/>
      </c>
      <c r="AZ18" s="12">
        <f>AY21</f>
        <v/>
      </c>
      <c r="BA18" s="12">
        <f>AZ21</f>
        <v/>
      </c>
      <c r="BB18" s="12">
        <f>BA21</f>
        <v/>
      </c>
      <c r="BC18" s="12">
        <f>BB21</f>
        <v/>
      </c>
      <c r="BD18" s="12">
        <f>BC21</f>
        <v/>
      </c>
      <c r="BE18" s="12">
        <f>BD21</f>
        <v/>
      </c>
      <c r="BF18" s="12">
        <f>BE21</f>
        <v/>
      </c>
      <c r="BG18" s="12">
        <f>BF21</f>
        <v/>
      </c>
      <c r="BH18" s="12">
        <f>BG21</f>
        <v/>
      </c>
      <c r="BI18" s="12">
        <f>BH21</f>
        <v/>
      </c>
      <c r="BJ18" s="12">
        <f>BI21</f>
        <v/>
      </c>
      <c r="BK18" s="12">
        <f>BJ21</f>
        <v/>
      </c>
      <c r="BL18" s="12">
        <f>BK21</f>
        <v/>
      </c>
      <c r="BM18" s="12">
        <f>BL21</f>
        <v/>
      </c>
      <c r="BN18" s="12">
        <f>BM21</f>
        <v/>
      </c>
      <c r="BO18" s="12">
        <f>BN21</f>
        <v/>
      </c>
      <c r="BP18" s="12">
        <f>BO21</f>
        <v/>
      </c>
      <c r="BQ18" s="12">
        <f>BP21</f>
        <v/>
      </c>
      <c r="BR18" s="12">
        <f>BQ21</f>
        <v/>
      </c>
      <c r="BS18" s="12">
        <f>BR21</f>
        <v/>
      </c>
      <c r="BT18" s="12">
        <f>BS21</f>
        <v/>
      </c>
      <c r="BU18" s="12">
        <f>BT21</f>
        <v/>
      </c>
      <c r="BV18" s="12">
        <f>BU21</f>
        <v/>
      </c>
      <c r="BW18" s="12">
        <f>BV21</f>
        <v/>
      </c>
      <c r="BX18" s="12">
        <f>BW21</f>
        <v/>
      </c>
      <c r="BY18" s="12">
        <f>BX21</f>
        <v/>
      </c>
      <c r="BZ18" s="12">
        <f>BY21</f>
        <v/>
      </c>
      <c r="CA18" s="12">
        <f>BZ21</f>
        <v/>
      </c>
      <c r="CB18" s="12">
        <f>CA21</f>
        <v/>
      </c>
      <c r="CC18" s="12">
        <f>CB21</f>
        <v/>
      </c>
      <c r="CD18" s="12">
        <f>CC21</f>
        <v/>
      </c>
      <c r="CE18" s="12">
        <f>CD21</f>
        <v/>
      </c>
      <c r="CF18" s="12">
        <f>CE21</f>
        <v/>
      </c>
      <c r="CG18" s="12">
        <f>CF21</f>
        <v/>
      </c>
      <c r="CH18" s="12">
        <f>CG21</f>
        <v/>
      </c>
    </row>
    <row r="19">
      <c r="A19" s="3" t="inlineStr">
        <is>
          <t>Tier 2 remaining</t>
        </is>
      </c>
      <c r="B19" s="4" t="inlineStr">
        <is>
          <t>$</t>
        </is>
      </c>
      <c r="C19" s="12">
        <f>MAX(0,C17-C18)</f>
        <v/>
      </c>
      <c r="D19" s="12">
        <f>MAX(0,D17-D18)</f>
        <v/>
      </c>
      <c r="E19" s="12">
        <f>MAX(0,E17-E18)</f>
        <v/>
      </c>
      <c r="F19" s="12">
        <f>MAX(0,F17-F18)</f>
        <v/>
      </c>
      <c r="G19" s="12">
        <f>MAX(0,G17-G18)</f>
        <v/>
      </c>
      <c r="H19" s="12">
        <f>MAX(0,H17-H18)</f>
        <v/>
      </c>
      <c r="I19" s="12">
        <f>MAX(0,I17-I18)</f>
        <v/>
      </c>
      <c r="J19" s="12">
        <f>MAX(0,J17-J18)</f>
        <v/>
      </c>
      <c r="K19" s="12">
        <f>MAX(0,K17-K18)</f>
        <v/>
      </c>
      <c r="L19" s="12">
        <f>MAX(0,L17-L18)</f>
        <v/>
      </c>
      <c r="M19" s="12">
        <f>MAX(0,M17-M18)</f>
        <v/>
      </c>
      <c r="N19" s="12">
        <f>MAX(0,N17-N18)</f>
        <v/>
      </c>
      <c r="O19" s="12">
        <f>MAX(0,O17-O18)</f>
        <v/>
      </c>
      <c r="P19" s="12">
        <f>MAX(0,P17-P18)</f>
        <v/>
      </c>
      <c r="Q19" s="12">
        <f>MAX(0,Q17-Q18)</f>
        <v/>
      </c>
      <c r="R19" s="12">
        <f>MAX(0,R17-R18)</f>
        <v/>
      </c>
      <c r="S19" s="12">
        <f>MAX(0,S17-S18)</f>
        <v/>
      </c>
      <c r="T19" s="12">
        <f>MAX(0,T17-T18)</f>
        <v/>
      </c>
      <c r="U19" s="12">
        <f>MAX(0,U17-U18)</f>
        <v/>
      </c>
      <c r="V19" s="12">
        <f>MAX(0,V17-V18)</f>
        <v/>
      </c>
      <c r="W19" s="12">
        <f>MAX(0,W17-W18)</f>
        <v/>
      </c>
      <c r="X19" s="12">
        <f>MAX(0,X17-X18)</f>
        <v/>
      </c>
      <c r="Y19" s="12">
        <f>MAX(0,Y17-Y18)</f>
        <v/>
      </c>
      <c r="Z19" s="12">
        <f>MAX(0,Z17-Z18)</f>
        <v/>
      </c>
      <c r="AA19" s="12">
        <f>MAX(0,AA17-AA18)</f>
        <v/>
      </c>
      <c r="AB19" s="12">
        <f>MAX(0,AB17-AB18)</f>
        <v/>
      </c>
      <c r="AC19" s="12">
        <f>MAX(0,AC17-AC18)</f>
        <v/>
      </c>
      <c r="AD19" s="12">
        <f>MAX(0,AD17-AD18)</f>
        <v/>
      </c>
      <c r="AE19" s="12">
        <f>MAX(0,AE17-AE18)</f>
        <v/>
      </c>
      <c r="AF19" s="12">
        <f>MAX(0,AF17-AF18)</f>
        <v/>
      </c>
      <c r="AG19" s="12">
        <f>MAX(0,AG17-AG18)</f>
        <v/>
      </c>
      <c r="AH19" s="12">
        <f>MAX(0,AH17-AH18)</f>
        <v/>
      </c>
      <c r="AI19" s="12">
        <f>MAX(0,AI17-AI18)</f>
        <v/>
      </c>
      <c r="AJ19" s="12">
        <f>MAX(0,AJ17-AJ18)</f>
        <v/>
      </c>
      <c r="AK19" s="12">
        <f>MAX(0,AK17-AK18)</f>
        <v/>
      </c>
      <c r="AL19" s="12">
        <f>MAX(0,AL17-AL18)</f>
        <v/>
      </c>
      <c r="AM19" s="12">
        <f>MAX(0,AM17-AM18)</f>
        <v/>
      </c>
      <c r="AN19" s="12">
        <f>MAX(0,AN17-AN18)</f>
        <v/>
      </c>
      <c r="AO19" s="12">
        <f>MAX(0,AO17-AO18)</f>
        <v/>
      </c>
      <c r="AP19" s="12">
        <f>MAX(0,AP17-AP18)</f>
        <v/>
      </c>
      <c r="AQ19" s="12">
        <f>MAX(0,AQ17-AQ18)</f>
        <v/>
      </c>
      <c r="AR19" s="12">
        <f>MAX(0,AR17-AR18)</f>
        <v/>
      </c>
      <c r="AS19" s="12">
        <f>MAX(0,AS17-AS18)</f>
        <v/>
      </c>
      <c r="AT19" s="12">
        <f>MAX(0,AT17-AT18)</f>
        <v/>
      </c>
      <c r="AU19" s="12">
        <f>MAX(0,AU17-AU18)</f>
        <v/>
      </c>
      <c r="AV19" s="12">
        <f>MAX(0,AV17-AV18)</f>
        <v/>
      </c>
      <c r="AW19" s="12">
        <f>MAX(0,AW17-AW18)</f>
        <v/>
      </c>
      <c r="AX19" s="12">
        <f>MAX(0,AX17-AX18)</f>
        <v/>
      </c>
      <c r="AY19" s="12">
        <f>MAX(0,AY17-AY18)</f>
        <v/>
      </c>
      <c r="AZ19" s="12">
        <f>MAX(0,AZ17-AZ18)</f>
        <v/>
      </c>
      <c r="BA19" s="12">
        <f>MAX(0,BA17-BA18)</f>
        <v/>
      </c>
      <c r="BB19" s="12">
        <f>MAX(0,BB17-BB18)</f>
        <v/>
      </c>
      <c r="BC19" s="12">
        <f>MAX(0,BC17-BC18)</f>
        <v/>
      </c>
      <c r="BD19" s="12">
        <f>MAX(0,BD17-BD18)</f>
        <v/>
      </c>
      <c r="BE19" s="12">
        <f>MAX(0,BE17-BE18)</f>
        <v/>
      </c>
      <c r="BF19" s="12">
        <f>MAX(0,BF17-BF18)</f>
        <v/>
      </c>
      <c r="BG19" s="12">
        <f>MAX(0,BG17-BG18)</f>
        <v/>
      </c>
      <c r="BH19" s="12">
        <f>MAX(0,BH17-BH18)</f>
        <v/>
      </c>
      <c r="BI19" s="12">
        <f>MAX(0,BI17-BI18)</f>
        <v/>
      </c>
      <c r="BJ19" s="12">
        <f>MAX(0,BJ17-BJ18)</f>
        <v/>
      </c>
      <c r="BK19" s="12">
        <f>MAX(0,BK17-BK18)</f>
        <v/>
      </c>
      <c r="BL19" s="12">
        <f>MAX(0,BL17-BL18)</f>
        <v/>
      </c>
      <c r="BM19" s="12">
        <f>MAX(0,BM17-BM18)</f>
        <v/>
      </c>
      <c r="BN19" s="12">
        <f>MAX(0,BN17-BN18)</f>
        <v/>
      </c>
      <c r="BO19" s="12">
        <f>MAX(0,BO17-BO18)</f>
        <v/>
      </c>
      <c r="BP19" s="12">
        <f>MAX(0,BP17-BP18)</f>
        <v/>
      </c>
      <c r="BQ19" s="12">
        <f>MAX(0,BQ17-BQ18)</f>
        <v/>
      </c>
      <c r="BR19" s="12">
        <f>MAX(0,BR17-BR18)</f>
        <v/>
      </c>
      <c r="BS19" s="12">
        <f>MAX(0,BS17-BS18)</f>
        <v/>
      </c>
      <c r="BT19" s="12">
        <f>MAX(0,BT17-BT18)</f>
        <v/>
      </c>
      <c r="BU19" s="12">
        <f>MAX(0,BU17-BU18)</f>
        <v/>
      </c>
      <c r="BV19" s="12">
        <f>MAX(0,BV17-BV18)</f>
        <v/>
      </c>
      <c r="BW19" s="12">
        <f>MAX(0,BW17-BW18)</f>
        <v/>
      </c>
      <c r="BX19" s="12">
        <f>MAX(0,BX17-BX18)</f>
        <v/>
      </c>
      <c r="BY19" s="12">
        <f>MAX(0,BY17-BY18)</f>
        <v/>
      </c>
      <c r="BZ19" s="12">
        <f>MAX(0,BZ17-BZ18)</f>
        <v/>
      </c>
      <c r="CA19" s="12">
        <f>MAX(0,CA17-CA18)</f>
        <v/>
      </c>
      <c r="CB19" s="12">
        <f>MAX(0,CB17-CB18)</f>
        <v/>
      </c>
      <c r="CC19" s="12">
        <f>MAX(0,CC17-CC18)</f>
        <v/>
      </c>
      <c r="CD19" s="12">
        <f>MAX(0,CD17-CD18)</f>
        <v/>
      </c>
      <c r="CE19" s="12">
        <f>MAX(0,CE17-CE18)</f>
        <v/>
      </c>
      <c r="CF19" s="12">
        <f>MAX(0,CF17-CF18)</f>
        <v/>
      </c>
      <c r="CG19" s="12">
        <f>MAX(0,CG17-CG18)</f>
        <v/>
      </c>
      <c r="CH19" s="12">
        <f>MAX(0,CH17-CH18)</f>
        <v/>
      </c>
    </row>
    <row r="20">
      <c r="A20" s="3" t="inlineStr">
        <is>
          <t>Tier 2 to GP</t>
        </is>
      </c>
      <c r="B20" s="4" t="inlineStr">
        <is>
          <t>$</t>
        </is>
      </c>
      <c r="C20" s="12">
        <f>IF(C15=1,MIN(MAX(C10,0),C19),0)</f>
        <v/>
      </c>
      <c r="D20" s="12">
        <f>IF(D15=1,MIN(MAX(D10,0),D19),0)</f>
        <v/>
      </c>
      <c r="E20" s="12">
        <f>IF(E15=1,MIN(MAX(E10,0),E19),0)</f>
        <v/>
      </c>
      <c r="F20" s="12">
        <f>IF(F15=1,MIN(MAX(F10,0),F19),0)</f>
        <v/>
      </c>
      <c r="G20" s="12">
        <f>IF(G15=1,MIN(MAX(G10,0),G19),0)</f>
        <v/>
      </c>
      <c r="H20" s="12">
        <f>IF(H15=1,MIN(MAX(H10,0),H19),0)</f>
        <v/>
      </c>
      <c r="I20" s="12">
        <f>IF(I15=1,MIN(MAX(I10,0),I19),0)</f>
        <v/>
      </c>
      <c r="J20" s="12">
        <f>IF(J15=1,MIN(MAX(J10,0),J19),0)</f>
        <v/>
      </c>
      <c r="K20" s="12">
        <f>IF(K15=1,MIN(MAX(K10,0),K19),0)</f>
        <v/>
      </c>
      <c r="L20" s="12">
        <f>IF(L15=1,MIN(MAX(L10,0),L19),0)</f>
        <v/>
      </c>
      <c r="M20" s="12">
        <f>IF(M15=1,MIN(MAX(M10,0),M19),0)</f>
        <v/>
      </c>
      <c r="N20" s="12">
        <f>IF(N15=1,MIN(MAX(N10,0),N19),0)</f>
        <v/>
      </c>
      <c r="O20" s="12">
        <f>IF(O15=1,MIN(MAX(O10,0),O19),0)</f>
        <v/>
      </c>
      <c r="P20" s="12">
        <f>IF(P15=1,MIN(MAX(P10,0),P19),0)</f>
        <v/>
      </c>
      <c r="Q20" s="12">
        <f>IF(Q15=1,MIN(MAX(Q10,0),Q19),0)</f>
        <v/>
      </c>
      <c r="R20" s="12">
        <f>IF(R15=1,MIN(MAX(R10,0),R19),0)</f>
        <v/>
      </c>
      <c r="S20" s="12">
        <f>IF(S15=1,MIN(MAX(S10,0),S19),0)</f>
        <v/>
      </c>
      <c r="T20" s="12">
        <f>IF(T15=1,MIN(MAX(T10,0),T19),0)</f>
        <v/>
      </c>
      <c r="U20" s="12">
        <f>IF(U15=1,MIN(MAX(U10,0),U19),0)</f>
        <v/>
      </c>
      <c r="V20" s="12">
        <f>IF(V15=1,MIN(MAX(V10,0),V19),0)</f>
        <v/>
      </c>
      <c r="W20" s="12">
        <f>IF(W15=1,MIN(MAX(W10,0),W19),0)</f>
        <v/>
      </c>
      <c r="X20" s="12">
        <f>IF(X15=1,MIN(MAX(X10,0),X19),0)</f>
        <v/>
      </c>
      <c r="Y20" s="12">
        <f>IF(Y15=1,MIN(MAX(Y10,0),Y19),0)</f>
        <v/>
      </c>
      <c r="Z20" s="12">
        <f>IF(Z15=1,MIN(MAX(Z10,0),Z19),0)</f>
        <v/>
      </c>
      <c r="AA20" s="12">
        <f>IF(AA15=1,MIN(MAX(AA10,0),AA19),0)</f>
        <v/>
      </c>
      <c r="AB20" s="12">
        <f>IF(AB15=1,MIN(MAX(AB10,0),AB19),0)</f>
        <v/>
      </c>
      <c r="AC20" s="12">
        <f>IF(AC15=1,MIN(MAX(AC10,0),AC19),0)</f>
        <v/>
      </c>
      <c r="AD20" s="12">
        <f>IF(AD15=1,MIN(MAX(AD10,0),AD19),0)</f>
        <v/>
      </c>
      <c r="AE20" s="12">
        <f>IF(AE15=1,MIN(MAX(AE10,0),AE19),0)</f>
        <v/>
      </c>
      <c r="AF20" s="12">
        <f>IF(AF15=1,MIN(MAX(AF10,0),AF19),0)</f>
        <v/>
      </c>
      <c r="AG20" s="12">
        <f>IF(AG15=1,MIN(MAX(AG10,0),AG19),0)</f>
        <v/>
      </c>
      <c r="AH20" s="12">
        <f>IF(AH15=1,MIN(MAX(AH10,0),AH19),0)</f>
        <v/>
      </c>
      <c r="AI20" s="12">
        <f>IF(AI15=1,MIN(MAX(AI10,0),AI19),0)</f>
        <v/>
      </c>
      <c r="AJ20" s="12">
        <f>IF(AJ15=1,MIN(MAX(AJ10,0),AJ19),0)</f>
        <v/>
      </c>
      <c r="AK20" s="12">
        <f>IF(AK15=1,MIN(MAX(AK10,0),AK19),0)</f>
        <v/>
      </c>
      <c r="AL20" s="12">
        <f>IF(AL15=1,MIN(MAX(AL10,0),AL19),0)</f>
        <v/>
      </c>
      <c r="AM20" s="12">
        <f>IF(AM15=1,MIN(MAX(AM10,0),AM19),0)</f>
        <v/>
      </c>
      <c r="AN20" s="12">
        <f>IF(AN15=1,MIN(MAX(AN10,0),AN19),0)</f>
        <v/>
      </c>
      <c r="AO20" s="12">
        <f>IF(AO15=1,MIN(MAX(AO10,0),AO19),0)</f>
        <v/>
      </c>
      <c r="AP20" s="12">
        <f>IF(AP15=1,MIN(MAX(AP10,0),AP19),0)</f>
        <v/>
      </c>
      <c r="AQ20" s="12">
        <f>IF(AQ15=1,MIN(MAX(AQ10,0),AQ19),0)</f>
        <v/>
      </c>
      <c r="AR20" s="12">
        <f>IF(AR15=1,MIN(MAX(AR10,0),AR19),0)</f>
        <v/>
      </c>
      <c r="AS20" s="12">
        <f>IF(AS15=1,MIN(MAX(AS10,0),AS19),0)</f>
        <v/>
      </c>
      <c r="AT20" s="12">
        <f>IF(AT15=1,MIN(MAX(AT10,0),AT19),0)</f>
        <v/>
      </c>
      <c r="AU20" s="12">
        <f>IF(AU15=1,MIN(MAX(AU10,0),AU19),0)</f>
        <v/>
      </c>
      <c r="AV20" s="12">
        <f>IF(AV15=1,MIN(MAX(AV10,0),AV19),0)</f>
        <v/>
      </c>
      <c r="AW20" s="12">
        <f>IF(AW15=1,MIN(MAX(AW10,0),AW19),0)</f>
        <v/>
      </c>
      <c r="AX20" s="12">
        <f>IF(AX15=1,MIN(MAX(AX10,0),AX19),0)</f>
        <v/>
      </c>
      <c r="AY20" s="12">
        <f>IF(AY15=1,MIN(MAX(AY10,0),AY19),0)</f>
        <v/>
      </c>
      <c r="AZ20" s="12">
        <f>IF(AZ15=1,MIN(MAX(AZ10,0),AZ19),0)</f>
        <v/>
      </c>
      <c r="BA20" s="12">
        <f>IF(BA15=1,MIN(MAX(BA10,0),BA19),0)</f>
        <v/>
      </c>
      <c r="BB20" s="12">
        <f>IF(BB15=1,MIN(MAX(BB10,0),BB19),0)</f>
        <v/>
      </c>
      <c r="BC20" s="12">
        <f>IF(BC15=1,MIN(MAX(BC10,0),BC19),0)</f>
        <v/>
      </c>
      <c r="BD20" s="12">
        <f>IF(BD15=1,MIN(MAX(BD10,0),BD19),0)</f>
        <v/>
      </c>
      <c r="BE20" s="12">
        <f>IF(BE15=1,MIN(MAX(BE10,0),BE19),0)</f>
        <v/>
      </c>
      <c r="BF20" s="12">
        <f>IF(BF15=1,MIN(MAX(BF10,0),BF19),0)</f>
        <v/>
      </c>
      <c r="BG20" s="12">
        <f>IF(BG15=1,MIN(MAX(BG10,0),BG19),0)</f>
        <v/>
      </c>
      <c r="BH20" s="12">
        <f>IF(BH15=1,MIN(MAX(BH10,0),BH19),0)</f>
        <v/>
      </c>
      <c r="BI20" s="12">
        <f>IF(BI15=1,MIN(MAX(BI10,0),BI19),0)</f>
        <v/>
      </c>
      <c r="BJ20" s="12">
        <f>IF(BJ15=1,MIN(MAX(BJ10,0),BJ19),0)</f>
        <v/>
      </c>
      <c r="BK20" s="12">
        <f>IF(BK15=1,MIN(MAX(BK10,0),BK19),0)</f>
        <v/>
      </c>
      <c r="BL20" s="12">
        <f>IF(BL15=1,MIN(MAX(BL10,0),BL19),0)</f>
        <v/>
      </c>
      <c r="BM20" s="12">
        <f>IF(BM15=1,MIN(MAX(BM10,0),BM19),0)</f>
        <v/>
      </c>
      <c r="BN20" s="12">
        <f>IF(BN15=1,MIN(MAX(BN10,0),BN19),0)</f>
        <v/>
      </c>
      <c r="BO20" s="12">
        <f>IF(BO15=1,MIN(MAX(BO10,0),BO19),0)</f>
        <v/>
      </c>
      <c r="BP20" s="12">
        <f>IF(BP15=1,MIN(MAX(BP10,0),BP19),0)</f>
        <v/>
      </c>
      <c r="BQ20" s="12">
        <f>IF(BQ15=1,MIN(MAX(BQ10,0),BQ19),0)</f>
        <v/>
      </c>
      <c r="BR20" s="12">
        <f>IF(BR15=1,MIN(MAX(BR10,0),BR19),0)</f>
        <v/>
      </c>
      <c r="BS20" s="12">
        <f>IF(BS15=1,MIN(MAX(BS10,0),BS19),0)</f>
        <v/>
      </c>
      <c r="BT20" s="12">
        <f>IF(BT15=1,MIN(MAX(BT10,0),BT19),0)</f>
        <v/>
      </c>
      <c r="BU20" s="12">
        <f>IF(BU15=1,MIN(MAX(BU10,0),BU19),0)</f>
        <v/>
      </c>
      <c r="BV20" s="12">
        <f>IF(BV15=1,MIN(MAX(BV10,0),BV19),0)</f>
        <v/>
      </c>
      <c r="BW20" s="12">
        <f>IF(BW15=1,MIN(MAX(BW10,0),BW19),0)</f>
        <v/>
      </c>
      <c r="BX20" s="12">
        <f>IF(BX15=1,MIN(MAX(BX10,0),BX19),0)</f>
        <v/>
      </c>
      <c r="BY20" s="12">
        <f>IF(BY15=1,MIN(MAX(BY10,0),BY19),0)</f>
        <v/>
      </c>
      <c r="BZ20" s="12">
        <f>IF(BZ15=1,MIN(MAX(BZ10,0),BZ19),0)</f>
        <v/>
      </c>
      <c r="CA20" s="12">
        <f>IF(CA15=1,MIN(MAX(CA10,0),CA19),0)</f>
        <v/>
      </c>
      <c r="CB20" s="12">
        <f>IF(CB15=1,MIN(MAX(CB10,0),CB19),0)</f>
        <v/>
      </c>
      <c r="CC20" s="12">
        <f>IF(CC15=1,MIN(MAX(CC10,0),CC19),0)</f>
        <v/>
      </c>
      <c r="CD20" s="12">
        <f>IF(CD15=1,MIN(MAX(CD10,0),CD19),0)</f>
        <v/>
      </c>
      <c r="CE20" s="12">
        <f>IF(CE15=1,MIN(MAX(CE10,0),CE19),0)</f>
        <v/>
      </c>
      <c r="CF20" s="12">
        <f>IF(CF15=1,MIN(MAX(CF10,0),CF19),0)</f>
        <v/>
      </c>
      <c r="CG20" s="12">
        <f>IF(CG15=1,MIN(MAX(CG10,0),CG19),0)</f>
        <v/>
      </c>
      <c r="CH20" s="12">
        <f>IF(CH15=1,MIN(MAX(CH10,0),CH19),0)</f>
        <v/>
      </c>
    </row>
    <row r="21">
      <c r="A21" s="3" t="inlineStr">
        <is>
          <t>Tier 2 cumulative</t>
        </is>
      </c>
      <c r="B21" s="4" t="inlineStr">
        <is>
          <t>$</t>
        </is>
      </c>
      <c r="C21" s="12">
        <f>C18+C20</f>
        <v/>
      </c>
      <c r="D21" s="12">
        <f>D18+D20</f>
        <v/>
      </c>
      <c r="E21" s="12">
        <f>E18+E20</f>
        <v/>
      </c>
      <c r="F21" s="12">
        <f>F18+F20</f>
        <v/>
      </c>
      <c r="G21" s="12">
        <f>G18+G20</f>
        <v/>
      </c>
      <c r="H21" s="12">
        <f>H18+H20</f>
        <v/>
      </c>
      <c r="I21" s="12">
        <f>I18+I20</f>
        <v/>
      </c>
      <c r="J21" s="12">
        <f>J18+J20</f>
        <v/>
      </c>
      <c r="K21" s="12">
        <f>K18+K20</f>
        <v/>
      </c>
      <c r="L21" s="12">
        <f>L18+L20</f>
        <v/>
      </c>
      <c r="M21" s="12">
        <f>M18+M20</f>
        <v/>
      </c>
      <c r="N21" s="12">
        <f>N18+N20</f>
        <v/>
      </c>
      <c r="O21" s="12">
        <f>O18+O20</f>
        <v/>
      </c>
      <c r="P21" s="12">
        <f>P18+P20</f>
        <v/>
      </c>
      <c r="Q21" s="12">
        <f>Q18+Q20</f>
        <v/>
      </c>
      <c r="R21" s="12">
        <f>R18+R20</f>
        <v/>
      </c>
      <c r="S21" s="12">
        <f>S18+S20</f>
        <v/>
      </c>
      <c r="T21" s="12">
        <f>T18+T20</f>
        <v/>
      </c>
      <c r="U21" s="12">
        <f>U18+U20</f>
        <v/>
      </c>
      <c r="V21" s="12">
        <f>V18+V20</f>
        <v/>
      </c>
      <c r="W21" s="12">
        <f>W18+W20</f>
        <v/>
      </c>
      <c r="X21" s="12">
        <f>X18+X20</f>
        <v/>
      </c>
      <c r="Y21" s="12">
        <f>Y18+Y20</f>
        <v/>
      </c>
      <c r="Z21" s="12">
        <f>Z18+Z20</f>
        <v/>
      </c>
      <c r="AA21" s="12">
        <f>AA18+AA20</f>
        <v/>
      </c>
      <c r="AB21" s="12">
        <f>AB18+AB20</f>
        <v/>
      </c>
      <c r="AC21" s="12">
        <f>AC18+AC20</f>
        <v/>
      </c>
      <c r="AD21" s="12">
        <f>AD18+AD20</f>
        <v/>
      </c>
      <c r="AE21" s="12">
        <f>AE18+AE20</f>
        <v/>
      </c>
      <c r="AF21" s="12">
        <f>AF18+AF20</f>
        <v/>
      </c>
      <c r="AG21" s="12">
        <f>AG18+AG20</f>
        <v/>
      </c>
      <c r="AH21" s="12">
        <f>AH18+AH20</f>
        <v/>
      </c>
      <c r="AI21" s="12">
        <f>AI18+AI20</f>
        <v/>
      </c>
      <c r="AJ21" s="12">
        <f>AJ18+AJ20</f>
        <v/>
      </c>
      <c r="AK21" s="12">
        <f>AK18+AK20</f>
        <v/>
      </c>
      <c r="AL21" s="12">
        <f>AL18+AL20</f>
        <v/>
      </c>
      <c r="AM21" s="12">
        <f>AM18+AM20</f>
        <v/>
      </c>
      <c r="AN21" s="12">
        <f>AN18+AN20</f>
        <v/>
      </c>
      <c r="AO21" s="12">
        <f>AO18+AO20</f>
        <v/>
      </c>
      <c r="AP21" s="12">
        <f>AP18+AP20</f>
        <v/>
      </c>
      <c r="AQ21" s="12">
        <f>AQ18+AQ20</f>
        <v/>
      </c>
      <c r="AR21" s="12">
        <f>AR18+AR20</f>
        <v/>
      </c>
      <c r="AS21" s="12">
        <f>AS18+AS20</f>
        <v/>
      </c>
      <c r="AT21" s="12">
        <f>AT18+AT20</f>
        <v/>
      </c>
      <c r="AU21" s="12">
        <f>AU18+AU20</f>
        <v/>
      </c>
      <c r="AV21" s="12">
        <f>AV18+AV20</f>
        <v/>
      </c>
      <c r="AW21" s="12">
        <f>AW18+AW20</f>
        <v/>
      </c>
      <c r="AX21" s="12">
        <f>AX18+AX20</f>
        <v/>
      </c>
      <c r="AY21" s="12">
        <f>AY18+AY20</f>
        <v/>
      </c>
      <c r="AZ21" s="12">
        <f>AZ18+AZ20</f>
        <v/>
      </c>
      <c r="BA21" s="12">
        <f>BA18+BA20</f>
        <v/>
      </c>
      <c r="BB21" s="12">
        <f>BB18+BB20</f>
        <v/>
      </c>
      <c r="BC21" s="12">
        <f>BC18+BC20</f>
        <v/>
      </c>
      <c r="BD21" s="12">
        <f>BD18+BD20</f>
        <v/>
      </c>
      <c r="BE21" s="12">
        <f>BE18+BE20</f>
        <v/>
      </c>
      <c r="BF21" s="12">
        <f>BF18+BF20</f>
        <v/>
      </c>
      <c r="BG21" s="12">
        <f>BG18+BG20</f>
        <v/>
      </c>
      <c r="BH21" s="12">
        <f>BH18+BH20</f>
        <v/>
      </c>
      <c r="BI21" s="12">
        <f>BI18+BI20</f>
        <v/>
      </c>
      <c r="BJ21" s="12">
        <f>BJ18+BJ20</f>
        <v/>
      </c>
      <c r="BK21" s="12">
        <f>BK18+BK20</f>
        <v/>
      </c>
      <c r="BL21" s="12">
        <f>BL18+BL20</f>
        <v/>
      </c>
      <c r="BM21" s="12">
        <f>BM18+BM20</f>
        <v/>
      </c>
      <c r="BN21" s="12">
        <f>BN18+BN20</f>
        <v/>
      </c>
      <c r="BO21" s="12">
        <f>BO18+BO20</f>
        <v/>
      </c>
      <c r="BP21" s="12">
        <f>BP18+BP20</f>
        <v/>
      </c>
      <c r="BQ21" s="12">
        <f>BQ18+BQ20</f>
        <v/>
      </c>
      <c r="BR21" s="12">
        <f>BR18+BR20</f>
        <v/>
      </c>
      <c r="BS21" s="12">
        <f>BS18+BS20</f>
        <v/>
      </c>
      <c r="BT21" s="12">
        <f>BT18+BT20</f>
        <v/>
      </c>
      <c r="BU21" s="12">
        <f>BU18+BU20</f>
        <v/>
      </c>
      <c r="BV21" s="12">
        <f>BV18+BV20</f>
        <v/>
      </c>
      <c r="BW21" s="12">
        <f>BW18+BW20</f>
        <v/>
      </c>
      <c r="BX21" s="12">
        <f>BX18+BX20</f>
        <v/>
      </c>
      <c r="BY21" s="12">
        <f>BY18+BY20</f>
        <v/>
      </c>
      <c r="BZ21" s="12">
        <f>BZ18+BZ20</f>
        <v/>
      </c>
      <c r="CA21" s="12">
        <f>CA18+CA20</f>
        <v/>
      </c>
      <c r="CB21" s="12">
        <f>CB18+CB20</f>
        <v/>
      </c>
      <c r="CC21" s="12">
        <f>CC18+CC20</f>
        <v/>
      </c>
      <c r="CD21" s="12">
        <f>CD18+CD20</f>
        <v/>
      </c>
      <c r="CE21" s="12">
        <f>CE18+CE20</f>
        <v/>
      </c>
      <c r="CF21" s="12">
        <f>CF18+CF20</f>
        <v/>
      </c>
      <c r="CG21" s="12">
        <f>CG18+CG20</f>
        <v/>
      </c>
      <c r="CH21" s="12">
        <f>CH18+CH20</f>
        <v/>
      </c>
    </row>
    <row r="22">
      <c r="A22" s="3" t="inlineStr">
        <is>
          <t>Tier 2 complete</t>
        </is>
      </c>
      <c r="B22" s="4" t="inlineStr">
        <is>
          <t>1/0</t>
        </is>
      </c>
      <c r="C22" s="10">
        <f>IF(AND(C15=1,C17-C21&lt;=0.01),1,0)</f>
        <v/>
      </c>
      <c r="D22" s="10">
        <f>IF(AND(D15=1,D17-D21&lt;=0.01),1,0)</f>
        <v/>
      </c>
      <c r="E22" s="10">
        <f>IF(AND(E15=1,E17-E21&lt;=0.01),1,0)</f>
        <v/>
      </c>
      <c r="F22" s="10">
        <f>IF(AND(F15=1,F17-F21&lt;=0.01),1,0)</f>
        <v/>
      </c>
      <c r="G22" s="10">
        <f>IF(AND(G15=1,G17-G21&lt;=0.01),1,0)</f>
        <v/>
      </c>
      <c r="H22" s="10">
        <f>IF(AND(H15=1,H17-H21&lt;=0.01),1,0)</f>
        <v/>
      </c>
      <c r="I22" s="10">
        <f>IF(AND(I15=1,I17-I21&lt;=0.01),1,0)</f>
        <v/>
      </c>
      <c r="J22" s="10">
        <f>IF(AND(J15=1,J17-J21&lt;=0.01),1,0)</f>
        <v/>
      </c>
      <c r="K22" s="10">
        <f>IF(AND(K15=1,K17-K21&lt;=0.01),1,0)</f>
        <v/>
      </c>
      <c r="L22" s="10">
        <f>IF(AND(L15=1,L17-L21&lt;=0.01),1,0)</f>
        <v/>
      </c>
      <c r="M22" s="10">
        <f>IF(AND(M15=1,M17-M21&lt;=0.01),1,0)</f>
        <v/>
      </c>
      <c r="N22" s="10">
        <f>IF(AND(N15=1,N17-N21&lt;=0.01),1,0)</f>
        <v/>
      </c>
      <c r="O22" s="10">
        <f>IF(AND(O15=1,O17-O21&lt;=0.01),1,0)</f>
        <v/>
      </c>
      <c r="P22" s="10">
        <f>IF(AND(P15=1,P17-P21&lt;=0.01),1,0)</f>
        <v/>
      </c>
      <c r="Q22" s="10">
        <f>IF(AND(Q15=1,Q17-Q21&lt;=0.01),1,0)</f>
        <v/>
      </c>
      <c r="R22" s="10">
        <f>IF(AND(R15=1,R17-R21&lt;=0.01),1,0)</f>
        <v/>
      </c>
      <c r="S22" s="10">
        <f>IF(AND(S15=1,S17-S21&lt;=0.01),1,0)</f>
        <v/>
      </c>
      <c r="T22" s="10">
        <f>IF(AND(T15=1,T17-T21&lt;=0.01),1,0)</f>
        <v/>
      </c>
      <c r="U22" s="10">
        <f>IF(AND(U15=1,U17-U21&lt;=0.01),1,0)</f>
        <v/>
      </c>
      <c r="V22" s="10">
        <f>IF(AND(V15=1,V17-V21&lt;=0.01),1,0)</f>
        <v/>
      </c>
      <c r="W22" s="10">
        <f>IF(AND(W15=1,W17-W21&lt;=0.01),1,0)</f>
        <v/>
      </c>
      <c r="X22" s="10">
        <f>IF(AND(X15=1,X17-X21&lt;=0.01),1,0)</f>
        <v/>
      </c>
      <c r="Y22" s="10">
        <f>IF(AND(Y15=1,Y17-Y21&lt;=0.01),1,0)</f>
        <v/>
      </c>
      <c r="Z22" s="10">
        <f>IF(AND(Z15=1,Z17-Z21&lt;=0.01),1,0)</f>
        <v/>
      </c>
      <c r="AA22" s="10">
        <f>IF(AND(AA15=1,AA17-AA21&lt;=0.01),1,0)</f>
        <v/>
      </c>
      <c r="AB22" s="10">
        <f>IF(AND(AB15=1,AB17-AB21&lt;=0.01),1,0)</f>
        <v/>
      </c>
      <c r="AC22" s="10">
        <f>IF(AND(AC15=1,AC17-AC21&lt;=0.01),1,0)</f>
        <v/>
      </c>
      <c r="AD22" s="10">
        <f>IF(AND(AD15=1,AD17-AD21&lt;=0.01),1,0)</f>
        <v/>
      </c>
      <c r="AE22" s="10">
        <f>IF(AND(AE15=1,AE17-AE21&lt;=0.01),1,0)</f>
        <v/>
      </c>
      <c r="AF22" s="10">
        <f>IF(AND(AF15=1,AF17-AF21&lt;=0.01),1,0)</f>
        <v/>
      </c>
      <c r="AG22" s="10">
        <f>IF(AND(AG15=1,AG17-AG21&lt;=0.01),1,0)</f>
        <v/>
      </c>
      <c r="AH22" s="10">
        <f>IF(AND(AH15=1,AH17-AH21&lt;=0.01),1,0)</f>
        <v/>
      </c>
      <c r="AI22" s="10">
        <f>IF(AND(AI15=1,AI17-AI21&lt;=0.01),1,0)</f>
        <v/>
      </c>
      <c r="AJ22" s="10">
        <f>IF(AND(AJ15=1,AJ17-AJ21&lt;=0.01),1,0)</f>
        <v/>
      </c>
      <c r="AK22" s="10">
        <f>IF(AND(AK15=1,AK17-AK21&lt;=0.01),1,0)</f>
        <v/>
      </c>
      <c r="AL22" s="10">
        <f>IF(AND(AL15=1,AL17-AL21&lt;=0.01),1,0)</f>
        <v/>
      </c>
      <c r="AM22" s="10">
        <f>IF(AND(AM15=1,AM17-AM21&lt;=0.01),1,0)</f>
        <v/>
      </c>
      <c r="AN22" s="10">
        <f>IF(AND(AN15=1,AN17-AN21&lt;=0.01),1,0)</f>
        <v/>
      </c>
      <c r="AO22" s="10">
        <f>IF(AND(AO15=1,AO17-AO21&lt;=0.01),1,0)</f>
        <v/>
      </c>
      <c r="AP22" s="10">
        <f>IF(AND(AP15=1,AP17-AP21&lt;=0.01),1,0)</f>
        <v/>
      </c>
      <c r="AQ22" s="10">
        <f>IF(AND(AQ15=1,AQ17-AQ21&lt;=0.01),1,0)</f>
        <v/>
      </c>
      <c r="AR22" s="10">
        <f>IF(AND(AR15=1,AR17-AR21&lt;=0.01),1,0)</f>
        <v/>
      </c>
      <c r="AS22" s="10">
        <f>IF(AND(AS15=1,AS17-AS21&lt;=0.01),1,0)</f>
        <v/>
      </c>
      <c r="AT22" s="10">
        <f>IF(AND(AT15=1,AT17-AT21&lt;=0.01),1,0)</f>
        <v/>
      </c>
      <c r="AU22" s="10">
        <f>IF(AND(AU15=1,AU17-AU21&lt;=0.01),1,0)</f>
        <v/>
      </c>
      <c r="AV22" s="10">
        <f>IF(AND(AV15=1,AV17-AV21&lt;=0.01),1,0)</f>
        <v/>
      </c>
      <c r="AW22" s="10">
        <f>IF(AND(AW15=1,AW17-AW21&lt;=0.01),1,0)</f>
        <v/>
      </c>
      <c r="AX22" s="10">
        <f>IF(AND(AX15=1,AX17-AX21&lt;=0.01),1,0)</f>
        <v/>
      </c>
      <c r="AY22" s="10">
        <f>IF(AND(AY15=1,AY17-AY21&lt;=0.01),1,0)</f>
        <v/>
      </c>
      <c r="AZ22" s="10">
        <f>IF(AND(AZ15=1,AZ17-AZ21&lt;=0.01),1,0)</f>
        <v/>
      </c>
      <c r="BA22" s="10">
        <f>IF(AND(BA15=1,BA17-BA21&lt;=0.01),1,0)</f>
        <v/>
      </c>
      <c r="BB22" s="10">
        <f>IF(AND(BB15=1,BB17-BB21&lt;=0.01),1,0)</f>
        <v/>
      </c>
      <c r="BC22" s="10">
        <f>IF(AND(BC15=1,BC17-BC21&lt;=0.01),1,0)</f>
        <v/>
      </c>
      <c r="BD22" s="10">
        <f>IF(AND(BD15=1,BD17-BD21&lt;=0.01),1,0)</f>
        <v/>
      </c>
      <c r="BE22" s="10">
        <f>IF(AND(BE15=1,BE17-BE21&lt;=0.01),1,0)</f>
        <v/>
      </c>
      <c r="BF22" s="10">
        <f>IF(AND(BF15=1,BF17-BF21&lt;=0.01),1,0)</f>
        <v/>
      </c>
      <c r="BG22" s="10">
        <f>IF(AND(BG15=1,BG17-BG21&lt;=0.01),1,0)</f>
        <v/>
      </c>
      <c r="BH22" s="10">
        <f>IF(AND(BH15=1,BH17-BH21&lt;=0.01),1,0)</f>
        <v/>
      </c>
      <c r="BI22" s="10">
        <f>IF(AND(BI15=1,BI17-BI21&lt;=0.01),1,0)</f>
        <v/>
      </c>
      <c r="BJ22" s="10">
        <f>IF(AND(BJ15=1,BJ17-BJ21&lt;=0.01),1,0)</f>
        <v/>
      </c>
      <c r="BK22" s="10">
        <f>IF(AND(BK15=1,BK17-BK21&lt;=0.01),1,0)</f>
        <v/>
      </c>
      <c r="BL22" s="10">
        <f>IF(AND(BL15=1,BL17-BL21&lt;=0.01),1,0)</f>
        <v/>
      </c>
      <c r="BM22" s="10">
        <f>IF(AND(BM15=1,BM17-BM21&lt;=0.01),1,0)</f>
        <v/>
      </c>
      <c r="BN22" s="10">
        <f>IF(AND(BN15=1,BN17-BN21&lt;=0.01),1,0)</f>
        <v/>
      </c>
      <c r="BO22" s="10">
        <f>IF(AND(BO15=1,BO17-BO21&lt;=0.01),1,0)</f>
        <v/>
      </c>
      <c r="BP22" s="10">
        <f>IF(AND(BP15=1,BP17-BP21&lt;=0.01),1,0)</f>
        <v/>
      </c>
      <c r="BQ22" s="10">
        <f>IF(AND(BQ15=1,BQ17-BQ21&lt;=0.01),1,0)</f>
        <v/>
      </c>
      <c r="BR22" s="10">
        <f>IF(AND(BR15=1,BR17-BR21&lt;=0.01),1,0)</f>
        <v/>
      </c>
      <c r="BS22" s="10">
        <f>IF(AND(BS15=1,BS17-BS21&lt;=0.01),1,0)</f>
        <v/>
      </c>
      <c r="BT22" s="10">
        <f>IF(AND(BT15=1,BT17-BT21&lt;=0.01),1,0)</f>
        <v/>
      </c>
      <c r="BU22" s="10">
        <f>IF(AND(BU15=1,BU17-BU21&lt;=0.01),1,0)</f>
        <v/>
      </c>
      <c r="BV22" s="10">
        <f>IF(AND(BV15=1,BV17-BV21&lt;=0.01),1,0)</f>
        <v/>
      </c>
      <c r="BW22" s="10">
        <f>IF(AND(BW15=1,BW17-BW21&lt;=0.01),1,0)</f>
        <v/>
      </c>
      <c r="BX22" s="10">
        <f>IF(AND(BX15=1,BX17-BX21&lt;=0.01),1,0)</f>
        <v/>
      </c>
      <c r="BY22" s="10">
        <f>IF(AND(BY15=1,BY17-BY21&lt;=0.01),1,0)</f>
        <v/>
      </c>
      <c r="BZ22" s="10">
        <f>IF(AND(BZ15=1,BZ17-BZ21&lt;=0.01),1,0)</f>
        <v/>
      </c>
      <c r="CA22" s="10">
        <f>IF(AND(CA15=1,CA17-CA21&lt;=0.01),1,0)</f>
        <v/>
      </c>
      <c r="CB22" s="10">
        <f>IF(AND(CB15=1,CB17-CB21&lt;=0.01),1,0)</f>
        <v/>
      </c>
      <c r="CC22" s="10">
        <f>IF(AND(CC15=1,CC17-CC21&lt;=0.01),1,0)</f>
        <v/>
      </c>
      <c r="CD22" s="10">
        <f>IF(AND(CD15=1,CD17-CD21&lt;=0.01),1,0)</f>
        <v/>
      </c>
      <c r="CE22" s="10">
        <f>IF(AND(CE15=1,CE17-CE21&lt;=0.01),1,0)</f>
        <v/>
      </c>
      <c r="CF22" s="10">
        <f>IF(AND(CF15=1,CF17-CF21&lt;=0.01),1,0)</f>
        <v/>
      </c>
      <c r="CG22" s="10">
        <f>IF(AND(CG15=1,CG17-CG21&lt;=0.01),1,0)</f>
        <v/>
      </c>
      <c r="CH22" s="10">
        <f>IF(AND(CH15=1,CH17-CH21&lt;=0.01),1,0)</f>
        <v/>
      </c>
    </row>
    <row r="23">
      <c r="A23" s="3" t="inlineStr">
        <is>
          <t>Tier 3 LP accrual gate</t>
        </is>
      </c>
      <c r="B23" s="4" t="inlineStr">
        <is>
          <t>$</t>
        </is>
      </c>
      <c r="C23" s="12">
        <f>SourcesUses!$C$31*(1+T3_ACCRUAL_PCT/12)^C2</f>
        <v/>
      </c>
      <c r="D23" s="12">
        <f>SourcesUses!$C$31*(1+T3_ACCRUAL_PCT/12)^D2</f>
        <v/>
      </c>
      <c r="E23" s="12">
        <f>SourcesUses!$C$31*(1+T3_ACCRUAL_PCT/12)^E2</f>
        <v/>
      </c>
      <c r="F23" s="12">
        <f>SourcesUses!$C$31*(1+T3_ACCRUAL_PCT/12)^F2</f>
        <v/>
      </c>
      <c r="G23" s="12">
        <f>SourcesUses!$C$31*(1+T3_ACCRUAL_PCT/12)^G2</f>
        <v/>
      </c>
      <c r="H23" s="12">
        <f>SourcesUses!$C$31*(1+T3_ACCRUAL_PCT/12)^H2</f>
        <v/>
      </c>
      <c r="I23" s="12">
        <f>SourcesUses!$C$31*(1+T3_ACCRUAL_PCT/12)^I2</f>
        <v/>
      </c>
      <c r="J23" s="12">
        <f>SourcesUses!$C$31*(1+T3_ACCRUAL_PCT/12)^J2</f>
        <v/>
      </c>
      <c r="K23" s="12">
        <f>SourcesUses!$C$31*(1+T3_ACCRUAL_PCT/12)^K2</f>
        <v/>
      </c>
      <c r="L23" s="12">
        <f>SourcesUses!$C$31*(1+T3_ACCRUAL_PCT/12)^L2</f>
        <v/>
      </c>
      <c r="M23" s="12">
        <f>SourcesUses!$C$31*(1+T3_ACCRUAL_PCT/12)^M2</f>
        <v/>
      </c>
      <c r="N23" s="12">
        <f>SourcesUses!$C$31*(1+T3_ACCRUAL_PCT/12)^N2</f>
        <v/>
      </c>
      <c r="O23" s="12">
        <f>SourcesUses!$C$31*(1+T3_ACCRUAL_PCT/12)^O2</f>
        <v/>
      </c>
      <c r="P23" s="12">
        <f>SourcesUses!$C$31*(1+T3_ACCRUAL_PCT/12)^P2</f>
        <v/>
      </c>
      <c r="Q23" s="12">
        <f>SourcesUses!$C$31*(1+T3_ACCRUAL_PCT/12)^Q2</f>
        <v/>
      </c>
      <c r="R23" s="12">
        <f>SourcesUses!$C$31*(1+T3_ACCRUAL_PCT/12)^R2</f>
        <v/>
      </c>
      <c r="S23" s="12">
        <f>SourcesUses!$C$31*(1+T3_ACCRUAL_PCT/12)^S2</f>
        <v/>
      </c>
      <c r="T23" s="12">
        <f>SourcesUses!$C$31*(1+T3_ACCRUAL_PCT/12)^T2</f>
        <v/>
      </c>
      <c r="U23" s="12">
        <f>SourcesUses!$C$31*(1+T3_ACCRUAL_PCT/12)^U2</f>
        <v/>
      </c>
      <c r="V23" s="12">
        <f>SourcesUses!$C$31*(1+T3_ACCRUAL_PCT/12)^V2</f>
        <v/>
      </c>
      <c r="W23" s="12">
        <f>SourcesUses!$C$31*(1+T3_ACCRUAL_PCT/12)^W2</f>
        <v/>
      </c>
      <c r="X23" s="12">
        <f>SourcesUses!$C$31*(1+T3_ACCRUAL_PCT/12)^X2</f>
        <v/>
      </c>
      <c r="Y23" s="12">
        <f>SourcesUses!$C$31*(1+T3_ACCRUAL_PCT/12)^Y2</f>
        <v/>
      </c>
      <c r="Z23" s="12">
        <f>SourcesUses!$C$31*(1+T3_ACCRUAL_PCT/12)^Z2</f>
        <v/>
      </c>
      <c r="AA23" s="12">
        <f>SourcesUses!$C$31*(1+T3_ACCRUAL_PCT/12)^AA2</f>
        <v/>
      </c>
      <c r="AB23" s="12">
        <f>SourcesUses!$C$31*(1+T3_ACCRUAL_PCT/12)^AB2</f>
        <v/>
      </c>
      <c r="AC23" s="12">
        <f>SourcesUses!$C$31*(1+T3_ACCRUAL_PCT/12)^AC2</f>
        <v/>
      </c>
      <c r="AD23" s="12">
        <f>SourcesUses!$C$31*(1+T3_ACCRUAL_PCT/12)^AD2</f>
        <v/>
      </c>
      <c r="AE23" s="12">
        <f>SourcesUses!$C$31*(1+T3_ACCRUAL_PCT/12)^AE2</f>
        <v/>
      </c>
      <c r="AF23" s="12">
        <f>SourcesUses!$C$31*(1+T3_ACCRUAL_PCT/12)^AF2</f>
        <v/>
      </c>
      <c r="AG23" s="12">
        <f>SourcesUses!$C$31*(1+T3_ACCRUAL_PCT/12)^AG2</f>
        <v/>
      </c>
      <c r="AH23" s="12">
        <f>SourcesUses!$C$31*(1+T3_ACCRUAL_PCT/12)^AH2</f>
        <v/>
      </c>
      <c r="AI23" s="12">
        <f>SourcesUses!$C$31*(1+T3_ACCRUAL_PCT/12)^AI2</f>
        <v/>
      </c>
      <c r="AJ23" s="12">
        <f>SourcesUses!$C$31*(1+T3_ACCRUAL_PCT/12)^AJ2</f>
        <v/>
      </c>
      <c r="AK23" s="12">
        <f>SourcesUses!$C$31*(1+T3_ACCRUAL_PCT/12)^AK2</f>
        <v/>
      </c>
      <c r="AL23" s="12">
        <f>SourcesUses!$C$31*(1+T3_ACCRUAL_PCT/12)^AL2</f>
        <v/>
      </c>
      <c r="AM23" s="12">
        <f>SourcesUses!$C$31*(1+T3_ACCRUAL_PCT/12)^AM2</f>
        <v/>
      </c>
      <c r="AN23" s="12">
        <f>SourcesUses!$C$31*(1+T3_ACCRUAL_PCT/12)^AN2</f>
        <v/>
      </c>
      <c r="AO23" s="12">
        <f>SourcesUses!$C$31*(1+T3_ACCRUAL_PCT/12)^AO2</f>
        <v/>
      </c>
      <c r="AP23" s="12">
        <f>SourcesUses!$C$31*(1+T3_ACCRUAL_PCT/12)^AP2</f>
        <v/>
      </c>
      <c r="AQ23" s="12">
        <f>SourcesUses!$C$31*(1+T3_ACCRUAL_PCT/12)^AQ2</f>
        <v/>
      </c>
      <c r="AR23" s="12">
        <f>SourcesUses!$C$31*(1+T3_ACCRUAL_PCT/12)^AR2</f>
        <v/>
      </c>
      <c r="AS23" s="12">
        <f>SourcesUses!$C$31*(1+T3_ACCRUAL_PCT/12)^AS2</f>
        <v/>
      </c>
      <c r="AT23" s="12">
        <f>SourcesUses!$C$31*(1+T3_ACCRUAL_PCT/12)^AT2</f>
        <v/>
      </c>
      <c r="AU23" s="12">
        <f>SourcesUses!$C$31*(1+T3_ACCRUAL_PCT/12)^AU2</f>
        <v/>
      </c>
      <c r="AV23" s="12">
        <f>SourcesUses!$C$31*(1+T3_ACCRUAL_PCT/12)^AV2</f>
        <v/>
      </c>
      <c r="AW23" s="12">
        <f>SourcesUses!$C$31*(1+T3_ACCRUAL_PCT/12)^AW2</f>
        <v/>
      </c>
      <c r="AX23" s="12">
        <f>SourcesUses!$C$31*(1+T3_ACCRUAL_PCT/12)^AX2</f>
        <v/>
      </c>
      <c r="AY23" s="12">
        <f>SourcesUses!$C$31*(1+T3_ACCRUAL_PCT/12)^AY2</f>
        <v/>
      </c>
      <c r="AZ23" s="12">
        <f>SourcesUses!$C$31*(1+T3_ACCRUAL_PCT/12)^AZ2</f>
        <v/>
      </c>
      <c r="BA23" s="12">
        <f>SourcesUses!$C$31*(1+T3_ACCRUAL_PCT/12)^BA2</f>
        <v/>
      </c>
      <c r="BB23" s="12">
        <f>SourcesUses!$C$31*(1+T3_ACCRUAL_PCT/12)^BB2</f>
        <v/>
      </c>
      <c r="BC23" s="12">
        <f>SourcesUses!$C$31*(1+T3_ACCRUAL_PCT/12)^BC2</f>
        <v/>
      </c>
      <c r="BD23" s="12">
        <f>SourcesUses!$C$31*(1+T3_ACCRUAL_PCT/12)^BD2</f>
        <v/>
      </c>
      <c r="BE23" s="12">
        <f>SourcesUses!$C$31*(1+T3_ACCRUAL_PCT/12)^BE2</f>
        <v/>
      </c>
      <c r="BF23" s="12">
        <f>SourcesUses!$C$31*(1+T3_ACCRUAL_PCT/12)^BF2</f>
        <v/>
      </c>
      <c r="BG23" s="12">
        <f>SourcesUses!$C$31*(1+T3_ACCRUAL_PCT/12)^BG2</f>
        <v/>
      </c>
      <c r="BH23" s="12">
        <f>SourcesUses!$C$31*(1+T3_ACCRUAL_PCT/12)^BH2</f>
        <v/>
      </c>
      <c r="BI23" s="12">
        <f>SourcesUses!$C$31*(1+T3_ACCRUAL_PCT/12)^BI2</f>
        <v/>
      </c>
      <c r="BJ23" s="12">
        <f>SourcesUses!$C$31*(1+T3_ACCRUAL_PCT/12)^BJ2</f>
        <v/>
      </c>
      <c r="BK23" s="12">
        <f>SourcesUses!$C$31*(1+T3_ACCRUAL_PCT/12)^BK2</f>
        <v/>
      </c>
      <c r="BL23" s="12">
        <f>SourcesUses!$C$31*(1+T3_ACCRUAL_PCT/12)^BL2</f>
        <v/>
      </c>
      <c r="BM23" s="12">
        <f>SourcesUses!$C$31*(1+T3_ACCRUAL_PCT/12)^BM2</f>
        <v/>
      </c>
      <c r="BN23" s="12">
        <f>SourcesUses!$C$31*(1+T3_ACCRUAL_PCT/12)^BN2</f>
        <v/>
      </c>
      <c r="BO23" s="12">
        <f>SourcesUses!$C$31*(1+T3_ACCRUAL_PCT/12)^BO2</f>
        <v/>
      </c>
      <c r="BP23" s="12">
        <f>SourcesUses!$C$31*(1+T3_ACCRUAL_PCT/12)^BP2</f>
        <v/>
      </c>
      <c r="BQ23" s="12">
        <f>SourcesUses!$C$31*(1+T3_ACCRUAL_PCT/12)^BQ2</f>
        <v/>
      </c>
      <c r="BR23" s="12">
        <f>SourcesUses!$C$31*(1+T3_ACCRUAL_PCT/12)^BR2</f>
        <v/>
      </c>
      <c r="BS23" s="12">
        <f>SourcesUses!$C$31*(1+T3_ACCRUAL_PCT/12)^BS2</f>
        <v/>
      </c>
      <c r="BT23" s="12">
        <f>SourcesUses!$C$31*(1+T3_ACCRUAL_PCT/12)^BT2</f>
        <v/>
      </c>
      <c r="BU23" s="12">
        <f>SourcesUses!$C$31*(1+T3_ACCRUAL_PCT/12)^BU2</f>
        <v/>
      </c>
      <c r="BV23" s="12">
        <f>SourcesUses!$C$31*(1+T3_ACCRUAL_PCT/12)^BV2</f>
        <v/>
      </c>
      <c r="BW23" s="12">
        <f>SourcesUses!$C$31*(1+T3_ACCRUAL_PCT/12)^BW2</f>
        <v/>
      </c>
      <c r="BX23" s="12">
        <f>SourcesUses!$C$31*(1+T3_ACCRUAL_PCT/12)^BX2</f>
        <v/>
      </c>
      <c r="BY23" s="12">
        <f>SourcesUses!$C$31*(1+T3_ACCRUAL_PCT/12)^BY2</f>
        <v/>
      </c>
      <c r="BZ23" s="12">
        <f>SourcesUses!$C$31*(1+T3_ACCRUAL_PCT/12)^BZ2</f>
        <v/>
      </c>
      <c r="CA23" s="12">
        <f>SourcesUses!$C$31*(1+T3_ACCRUAL_PCT/12)^CA2</f>
        <v/>
      </c>
      <c r="CB23" s="12">
        <f>SourcesUses!$C$31*(1+T3_ACCRUAL_PCT/12)^CB2</f>
        <v/>
      </c>
      <c r="CC23" s="12">
        <f>SourcesUses!$C$31*(1+T3_ACCRUAL_PCT/12)^CC2</f>
        <v/>
      </c>
      <c r="CD23" s="12">
        <f>SourcesUses!$C$31*(1+T3_ACCRUAL_PCT/12)^CD2</f>
        <v/>
      </c>
      <c r="CE23" s="12">
        <f>SourcesUses!$C$31*(1+T3_ACCRUAL_PCT/12)^CE2</f>
        <v/>
      </c>
      <c r="CF23" s="12">
        <f>SourcesUses!$C$31*(1+T3_ACCRUAL_PCT/12)^CF2</f>
        <v/>
      </c>
      <c r="CG23" s="12">
        <f>SourcesUses!$C$31*(1+T3_ACCRUAL_PCT/12)^CG2</f>
        <v/>
      </c>
      <c r="CH23" s="12">
        <f>SourcesUses!$C$31*(1+T3_ACCRUAL_PCT/12)^CH2</f>
        <v/>
      </c>
    </row>
    <row r="24">
      <c r="A24" s="3" t="inlineStr">
        <is>
          <t>LP distributions before tier 3</t>
        </is>
      </c>
      <c r="B24" s="4" t="inlineStr">
        <is>
          <t>$</t>
        </is>
      </c>
      <c r="C24" s="12">
        <f>C9</f>
        <v/>
      </c>
      <c r="D24" s="12">
        <f>C39+D9</f>
        <v/>
      </c>
      <c r="E24" s="12">
        <f>D39+E9</f>
        <v/>
      </c>
      <c r="F24" s="12">
        <f>E39+F9</f>
        <v/>
      </c>
      <c r="G24" s="12">
        <f>F39+G9</f>
        <v/>
      </c>
      <c r="H24" s="12">
        <f>G39+H9</f>
        <v/>
      </c>
      <c r="I24" s="12">
        <f>H39+I9</f>
        <v/>
      </c>
      <c r="J24" s="12">
        <f>I39+J9</f>
        <v/>
      </c>
      <c r="K24" s="12">
        <f>J39+K9</f>
        <v/>
      </c>
      <c r="L24" s="12">
        <f>K39+L9</f>
        <v/>
      </c>
      <c r="M24" s="12">
        <f>L39+M9</f>
        <v/>
      </c>
      <c r="N24" s="12">
        <f>M39+N9</f>
        <v/>
      </c>
      <c r="O24" s="12">
        <f>N39+O9</f>
        <v/>
      </c>
      <c r="P24" s="12">
        <f>O39+P9</f>
        <v/>
      </c>
      <c r="Q24" s="12">
        <f>P39+Q9</f>
        <v/>
      </c>
      <c r="R24" s="12">
        <f>Q39+R9</f>
        <v/>
      </c>
      <c r="S24" s="12">
        <f>R39+S9</f>
        <v/>
      </c>
      <c r="T24" s="12">
        <f>S39+T9</f>
        <v/>
      </c>
      <c r="U24" s="12">
        <f>T39+U9</f>
        <v/>
      </c>
      <c r="V24" s="12">
        <f>U39+V9</f>
        <v/>
      </c>
      <c r="W24" s="12">
        <f>V39+W9</f>
        <v/>
      </c>
      <c r="X24" s="12">
        <f>W39+X9</f>
        <v/>
      </c>
      <c r="Y24" s="12">
        <f>X39+Y9</f>
        <v/>
      </c>
      <c r="Z24" s="12">
        <f>Y39+Z9</f>
        <v/>
      </c>
      <c r="AA24" s="12">
        <f>Z39+AA9</f>
        <v/>
      </c>
      <c r="AB24" s="12">
        <f>AA39+AB9</f>
        <v/>
      </c>
      <c r="AC24" s="12">
        <f>AB39+AC9</f>
        <v/>
      </c>
      <c r="AD24" s="12">
        <f>AC39+AD9</f>
        <v/>
      </c>
      <c r="AE24" s="12">
        <f>AD39+AE9</f>
        <v/>
      </c>
      <c r="AF24" s="12">
        <f>AE39+AF9</f>
        <v/>
      </c>
      <c r="AG24" s="12">
        <f>AF39+AG9</f>
        <v/>
      </c>
      <c r="AH24" s="12">
        <f>AG39+AH9</f>
        <v/>
      </c>
      <c r="AI24" s="12">
        <f>AH39+AI9</f>
        <v/>
      </c>
      <c r="AJ24" s="12">
        <f>AI39+AJ9</f>
        <v/>
      </c>
      <c r="AK24" s="12">
        <f>AJ39+AK9</f>
        <v/>
      </c>
      <c r="AL24" s="12">
        <f>AK39+AL9</f>
        <v/>
      </c>
      <c r="AM24" s="12">
        <f>AL39+AM9</f>
        <v/>
      </c>
      <c r="AN24" s="12">
        <f>AM39+AN9</f>
        <v/>
      </c>
      <c r="AO24" s="12">
        <f>AN39+AO9</f>
        <v/>
      </c>
      <c r="AP24" s="12">
        <f>AO39+AP9</f>
        <v/>
      </c>
      <c r="AQ24" s="12">
        <f>AP39+AQ9</f>
        <v/>
      </c>
      <c r="AR24" s="12">
        <f>AQ39+AR9</f>
        <v/>
      </c>
      <c r="AS24" s="12">
        <f>AR39+AS9</f>
        <v/>
      </c>
      <c r="AT24" s="12">
        <f>AS39+AT9</f>
        <v/>
      </c>
      <c r="AU24" s="12">
        <f>AT39+AU9</f>
        <v/>
      </c>
      <c r="AV24" s="12">
        <f>AU39+AV9</f>
        <v/>
      </c>
      <c r="AW24" s="12">
        <f>AV39+AW9</f>
        <v/>
      </c>
      <c r="AX24" s="12">
        <f>AW39+AX9</f>
        <v/>
      </c>
      <c r="AY24" s="12">
        <f>AX39+AY9</f>
        <v/>
      </c>
      <c r="AZ24" s="12">
        <f>AY39+AZ9</f>
        <v/>
      </c>
      <c r="BA24" s="12">
        <f>AZ39+BA9</f>
        <v/>
      </c>
      <c r="BB24" s="12">
        <f>BA39+BB9</f>
        <v/>
      </c>
      <c r="BC24" s="12">
        <f>BB39+BC9</f>
        <v/>
      </c>
      <c r="BD24" s="12">
        <f>BC39+BD9</f>
        <v/>
      </c>
      <c r="BE24" s="12">
        <f>BD39+BE9</f>
        <v/>
      </c>
      <c r="BF24" s="12">
        <f>BE39+BF9</f>
        <v/>
      </c>
      <c r="BG24" s="12">
        <f>BF39+BG9</f>
        <v/>
      </c>
      <c r="BH24" s="12">
        <f>BG39+BH9</f>
        <v/>
      </c>
      <c r="BI24" s="12">
        <f>BH39+BI9</f>
        <v/>
      </c>
      <c r="BJ24" s="12">
        <f>BI39+BJ9</f>
        <v/>
      </c>
      <c r="BK24" s="12">
        <f>BJ39+BK9</f>
        <v/>
      </c>
      <c r="BL24" s="12">
        <f>BK39+BL9</f>
        <v/>
      </c>
      <c r="BM24" s="12">
        <f>BL39+BM9</f>
        <v/>
      </c>
      <c r="BN24" s="12">
        <f>BM39+BN9</f>
        <v/>
      </c>
      <c r="BO24" s="12">
        <f>BN39+BO9</f>
        <v/>
      </c>
      <c r="BP24" s="12">
        <f>BO39+BP9</f>
        <v/>
      </c>
      <c r="BQ24" s="12">
        <f>BP39+BQ9</f>
        <v/>
      </c>
      <c r="BR24" s="12">
        <f>BQ39+BR9</f>
        <v/>
      </c>
      <c r="BS24" s="12">
        <f>BR39+BS9</f>
        <v/>
      </c>
      <c r="BT24" s="12">
        <f>BS39+BT9</f>
        <v/>
      </c>
      <c r="BU24" s="12">
        <f>BT39+BU9</f>
        <v/>
      </c>
      <c r="BV24" s="12">
        <f>BU39+BV9</f>
        <v/>
      </c>
      <c r="BW24" s="12">
        <f>BV39+BW9</f>
        <v/>
      </c>
      <c r="BX24" s="12">
        <f>BW39+BX9</f>
        <v/>
      </c>
      <c r="BY24" s="12">
        <f>BX39+BY9</f>
        <v/>
      </c>
      <c r="BZ24" s="12">
        <f>BY39+BZ9</f>
        <v/>
      </c>
      <c r="CA24" s="12">
        <f>BZ39+CA9</f>
        <v/>
      </c>
      <c r="CB24" s="12">
        <f>CA39+CB9</f>
        <v/>
      </c>
      <c r="CC24" s="12">
        <f>CB39+CC9</f>
        <v/>
      </c>
      <c r="CD24" s="12">
        <f>CC39+CD9</f>
        <v/>
      </c>
      <c r="CE24" s="12">
        <f>CD39+CE9</f>
        <v/>
      </c>
      <c r="CF24" s="12">
        <f>CE39+CF9</f>
        <v/>
      </c>
      <c r="CG24" s="12">
        <f>CF39+CG9</f>
        <v/>
      </c>
      <c r="CH24" s="12">
        <f>CG39+CH9</f>
        <v/>
      </c>
    </row>
    <row r="25">
      <c r="A25" s="3" t="inlineStr">
        <is>
          <t>Tier 3 LP gap</t>
        </is>
      </c>
      <c r="B25" s="4" t="inlineStr">
        <is>
          <t>$</t>
        </is>
      </c>
      <c r="C25" s="12">
        <f>MAX(0,C23-C24)</f>
        <v/>
      </c>
      <c r="D25" s="12">
        <f>MAX(0,D23-D24)</f>
        <v/>
      </c>
      <c r="E25" s="12">
        <f>MAX(0,E23-E24)</f>
        <v/>
      </c>
      <c r="F25" s="12">
        <f>MAX(0,F23-F24)</f>
        <v/>
      </c>
      <c r="G25" s="12">
        <f>MAX(0,G23-G24)</f>
        <v/>
      </c>
      <c r="H25" s="12">
        <f>MAX(0,H23-H24)</f>
        <v/>
      </c>
      <c r="I25" s="12">
        <f>MAX(0,I23-I24)</f>
        <v/>
      </c>
      <c r="J25" s="12">
        <f>MAX(0,J23-J24)</f>
        <v/>
      </c>
      <c r="K25" s="12">
        <f>MAX(0,K23-K24)</f>
        <v/>
      </c>
      <c r="L25" s="12">
        <f>MAX(0,L23-L24)</f>
        <v/>
      </c>
      <c r="M25" s="12">
        <f>MAX(0,M23-M24)</f>
        <v/>
      </c>
      <c r="N25" s="12">
        <f>MAX(0,N23-N24)</f>
        <v/>
      </c>
      <c r="O25" s="12">
        <f>MAX(0,O23-O24)</f>
        <v/>
      </c>
      <c r="P25" s="12">
        <f>MAX(0,P23-P24)</f>
        <v/>
      </c>
      <c r="Q25" s="12">
        <f>MAX(0,Q23-Q24)</f>
        <v/>
      </c>
      <c r="R25" s="12">
        <f>MAX(0,R23-R24)</f>
        <v/>
      </c>
      <c r="S25" s="12">
        <f>MAX(0,S23-S24)</f>
        <v/>
      </c>
      <c r="T25" s="12">
        <f>MAX(0,T23-T24)</f>
        <v/>
      </c>
      <c r="U25" s="12">
        <f>MAX(0,U23-U24)</f>
        <v/>
      </c>
      <c r="V25" s="12">
        <f>MAX(0,V23-V24)</f>
        <v/>
      </c>
      <c r="W25" s="12">
        <f>MAX(0,W23-W24)</f>
        <v/>
      </c>
      <c r="X25" s="12">
        <f>MAX(0,X23-X24)</f>
        <v/>
      </c>
      <c r="Y25" s="12">
        <f>MAX(0,Y23-Y24)</f>
        <v/>
      </c>
      <c r="Z25" s="12">
        <f>MAX(0,Z23-Z24)</f>
        <v/>
      </c>
      <c r="AA25" s="12">
        <f>MAX(0,AA23-AA24)</f>
        <v/>
      </c>
      <c r="AB25" s="12">
        <f>MAX(0,AB23-AB24)</f>
        <v/>
      </c>
      <c r="AC25" s="12">
        <f>MAX(0,AC23-AC24)</f>
        <v/>
      </c>
      <c r="AD25" s="12">
        <f>MAX(0,AD23-AD24)</f>
        <v/>
      </c>
      <c r="AE25" s="12">
        <f>MAX(0,AE23-AE24)</f>
        <v/>
      </c>
      <c r="AF25" s="12">
        <f>MAX(0,AF23-AF24)</f>
        <v/>
      </c>
      <c r="AG25" s="12">
        <f>MAX(0,AG23-AG24)</f>
        <v/>
      </c>
      <c r="AH25" s="12">
        <f>MAX(0,AH23-AH24)</f>
        <v/>
      </c>
      <c r="AI25" s="12">
        <f>MAX(0,AI23-AI24)</f>
        <v/>
      </c>
      <c r="AJ25" s="12">
        <f>MAX(0,AJ23-AJ24)</f>
        <v/>
      </c>
      <c r="AK25" s="12">
        <f>MAX(0,AK23-AK24)</f>
        <v/>
      </c>
      <c r="AL25" s="12">
        <f>MAX(0,AL23-AL24)</f>
        <v/>
      </c>
      <c r="AM25" s="12">
        <f>MAX(0,AM23-AM24)</f>
        <v/>
      </c>
      <c r="AN25" s="12">
        <f>MAX(0,AN23-AN24)</f>
        <v/>
      </c>
      <c r="AO25" s="12">
        <f>MAX(0,AO23-AO24)</f>
        <v/>
      </c>
      <c r="AP25" s="12">
        <f>MAX(0,AP23-AP24)</f>
        <v/>
      </c>
      <c r="AQ25" s="12">
        <f>MAX(0,AQ23-AQ24)</f>
        <v/>
      </c>
      <c r="AR25" s="12">
        <f>MAX(0,AR23-AR24)</f>
        <v/>
      </c>
      <c r="AS25" s="12">
        <f>MAX(0,AS23-AS24)</f>
        <v/>
      </c>
      <c r="AT25" s="12">
        <f>MAX(0,AT23-AT24)</f>
        <v/>
      </c>
      <c r="AU25" s="12">
        <f>MAX(0,AU23-AU24)</f>
        <v/>
      </c>
      <c r="AV25" s="12">
        <f>MAX(0,AV23-AV24)</f>
        <v/>
      </c>
      <c r="AW25" s="12">
        <f>MAX(0,AW23-AW24)</f>
        <v/>
      </c>
      <c r="AX25" s="12">
        <f>MAX(0,AX23-AX24)</f>
        <v/>
      </c>
      <c r="AY25" s="12">
        <f>MAX(0,AY23-AY24)</f>
        <v/>
      </c>
      <c r="AZ25" s="12">
        <f>MAX(0,AZ23-AZ24)</f>
        <v/>
      </c>
      <c r="BA25" s="12">
        <f>MAX(0,BA23-BA24)</f>
        <v/>
      </c>
      <c r="BB25" s="12">
        <f>MAX(0,BB23-BB24)</f>
        <v/>
      </c>
      <c r="BC25" s="12">
        <f>MAX(0,BC23-BC24)</f>
        <v/>
      </c>
      <c r="BD25" s="12">
        <f>MAX(0,BD23-BD24)</f>
        <v/>
      </c>
      <c r="BE25" s="12">
        <f>MAX(0,BE23-BE24)</f>
        <v/>
      </c>
      <c r="BF25" s="12">
        <f>MAX(0,BF23-BF24)</f>
        <v/>
      </c>
      <c r="BG25" s="12">
        <f>MAX(0,BG23-BG24)</f>
        <v/>
      </c>
      <c r="BH25" s="12">
        <f>MAX(0,BH23-BH24)</f>
        <v/>
      </c>
      <c r="BI25" s="12">
        <f>MAX(0,BI23-BI24)</f>
        <v/>
      </c>
      <c r="BJ25" s="12">
        <f>MAX(0,BJ23-BJ24)</f>
        <v/>
      </c>
      <c r="BK25" s="12">
        <f>MAX(0,BK23-BK24)</f>
        <v/>
      </c>
      <c r="BL25" s="12">
        <f>MAX(0,BL23-BL24)</f>
        <v/>
      </c>
      <c r="BM25" s="12">
        <f>MAX(0,BM23-BM24)</f>
        <v/>
      </c>
      <c r="BN25" s="12">
        <f>MAX(0,BN23-BN24)</f>
        <v/>
      </c>
      <c r="BO25" s="12">
        <f>MAX(0,BO23-BO24)</f>
        <v/>
      </c>
      <c r="BP25" s="12">
        <f>MAX(0,BP23-BP24)</f>
        <v/>
      </c>
      <c r="BQ25" s="12">
        <f>MAX(0,BQ23-BQ24)</f>
        <v/>
      </c>
      <c r="BR25" s="12">
        <f>MAX(0,BR23-BR24)</f>
        <v/>
      </c>
      <c r="BS25" s="12">
        <f>MAX(0,BS23-BS24)</f>
        <v/>
      </c>
      <c r="BT25" s="12">
        <f>MAX(0,BT23-BT24)</f>
        <v/>
      </c>
      <c r="BU25" s="12">
        <f>MAX(0,BU23-BU24)</f>
        <v/>
      </c>
      <c r="BV25" s="12">
        <f>MAX(0,BV23-BV24)</f>
        <v/>
      </c>
      <c r="BW25" s="12">
        <f>MAX(0,BW23-BW24)</f>
        <v/>
      </c>
      <c r="BX25" s="12">
        <f>MAX(0,BX23-BX24)</f>
        <v/>
      </c>
      <c r="BY25" s="12">
        <f>MAX(0,BY23-BY24)</f>
        <v/>
      </c>
      <c r="BZ25" s="12">
        <f>MAX(0,BZ23-BZ24)</f>
        <v/>
      </c>
      <c r="CA25" s="12">
        <f>MAX(0,CA23-CA24)</f>
        <v/>
      </c>
      <c r="CB25" s="12">
        <f>MAX(0,CB23-CB24)</f>
        <v/>
      </c>
      <c r="CC25" s="12">
        <f>MAX(0,CC23-CC24)</f>
        <v/>
      </c>
      <c r="CD25" s="12">
        <f>MAX(0,CD23-CD24)</f>
        <v/>
      </c>
      <c r="CE25" s="12">
        <f>MAX(0,CE23-CE24)</f>
        <v/>
      </c>
      <c r="CF25" s="12">
        <f>MAX(0,CF23-CF24)</f>
        <v/>
      </c>
      <c r="CG25" s="12">
        <f>MAX(0,CG23-CG24)</f>
        <v/>
      </c>
      <c r="CH25" s="12">
        <f>MAX(0,CH23-CH24)</f>
        <v/>
      </c>
    </row>
    <row r="26">
      <c r="A26" s="3" t="inlineStr">
        <is>
          <t>Tier 3 cash to close the gap</t>
        </is>
      </c>
      <c r="B26" s="4" t="inlineStr">
        <is>
          <t>$</t>
        </is>
      </c>
      <c r="C26" s="12">
        <f>IF(T3_LP_SPLIT&lt;=0,0,C25/T3_LP_SPLIT)</f>
        <v/>
      </c>
      <c r="D26" s="12">
        <f>IF(T3_LP_SPLIT&lt;=0,0,D25/T3_LP_SPLIT)</f>
        <v/>
      </c>
      <c r="E26" s="12">
        <f>IF(T3_LP_SPLIT&lt;=0,0,E25/T3_LP_SPLIT)</f>
        <v/>
      </c>
      <c r="F26" s="12">
        <f>IF(T3_LP_SPLIT&lt;=0,0,F25/T3_LP_SPLIT)</f>
        <v/>
      </c>
      <c r="G26" s="12">
        <f>IF(T3_LP_SPLIT&lt;=0,0,G25/T3_LP_SPLIT)</f>
        <v/>
      </c>
      <c r="H26" s="12">
        <f>IF(T3_LP_SPLIT&lt;=0,0,H25/T3_LP_SPLIT)</f>
        <v/>
      </c>
      <c r="I26" s="12">
        <f>IF(T3_LP_SPLIT&lt;=0,0,I25/T3_LP_SPLIT)</f>
        <v/>
      </c>
      <c r="J26" s="12">
        <f>IF(T3_LP_SPLIT&lt;=0,0,J25/T3_LP_SPLIT)</f>
        <v/>
      </c>
      <c r="K26" s="12">
        <f>IF(T3_LP_SPLIT&lt;=0,0,K25/T3_LP_SPLIT)</f>
        <v/>
      </c>
      <c r="L26" s="12">
        <f>IF(T3_LP_SPLIT&lt;=0,0,L25/T3_LP_SPLIT)</f>
        <v/>
      </c>
      <c r="M26" s="12">
        <f>IF(T3_LP_SPLIT&lt;=0,0,M25/T3_LP_SPLIT)</f>
        <v/>
      </c>
      <c r="N26" s="12">
        <f>IF(T3_LP_SPLIT&lt;=0,0,N25/T3_LP_SPLIT)</f>
        <v/>
      </c>
      <c r="O26" s="12">
        <f>IF(T3_LP_SPLIT&lt;=0,0,O25/T3_LP_SPLIT)</f>
        <v/>
      </c>
      <c r="P26" s="12">
        <f>IF(T3_LP_SPLIT&lt;=0,0,P25/T3_LP_SPLIT)</f>
        <v/>
      </c>
      <c r="Q26" s="12">
        <f>IF(T3_LP_SPLIT&lt;=0,0,Q25/T3_LP_SPLIT)</f>
        <v/>
      </c>
      <c r="R26" s="12">
        <f>IF(T3_LP_SPLIT&lt;=0,0,R25/T3_LP_SPLIT)</f>
        <v/>
      </c>
      <c r="S26" s="12">
        <f>IF(T3_LP_SPLIT&lt;=0,0,S25/T3_LP_SPLIT)</f>
        <v/>
      </c>
      <c r="T26" s="12">
        <f>IF(T3_LP_SPLIT&lt;=0,0,T25/T3_LP_SPLIT)</f>
        <v/>
      </c>
      <c r="U26" s="12">
        <f>IF(T3_LP_SPLIT&lt;=0,0,U25/T3_LP_SPLIT)</f>
        <v/>
      </c>
      <c r="V26" s="12">
        <f>IF(T3_LP_SPLIT&lt;=0,0,V25/T3_LP_SPLIT)</f>
        <v/>
      </c>
      <c r="W26" s="12">
        <f>IF(T3_LP_SPLIT&lt;=0,0,W25/T3_LP_SPLIT)</f>
        <v/>
      </c>
      <c r="X26" s="12">
        <f>IF(T3_LP_SPLIT&lt;=0,0,X25/T3_LP_SPLIT)</f>
        <v/>
      </c>
      <c r="Y26" s="12">
        <f>IF(T3_LP_SPLIT&lt;=0,0,Y25/T3_LP_SPLIT)</f>
        <v/>
      </c>
      <c r="Z26" s="12">
        <f>IF(T3_LP_SPLIT&lt;=0,0,Z25/T3_LP_SPLIT)</f>
        <v/>
      </c>
      <c r="AA26" s="12">
        <f>IF(T3_LP_SPLIT&lt;=0,0,AA25/T3_LP_SPLIT)</f>
        <v/>
      </c>
      <c r="AB26" s="12">
        <f>IF(T3_LP_SPLIT&lt;=0,0,AB25/T3_LP_SPLIT)</f>
        <v/>
      </c>
      <c r="AC26" s="12">
        <f>IF(T3_LP_SPLIT&lt;=0,0,AC25/T3_LP_SPLIT)</f>
        <v/>
      </c>
      <c r="AD26" s="12">
        <f>IF(T3_LP_SPLIT&lt;=0,0,AD25/T3_LP_SPLIT)</f>
        <v/>
      </c>
      <c r="AE26" s="12">
        <f>IF(T3_LP_SPLIT&lt;=0,0,AE25/T3_LP_SPLIT)</f>
        <v/>
      </c>
      <c r="AF26" s="12">
        <f>IF(T3_LP_SPLIT&lt;=0,0,AF25/T3_LP_SPLIT)</f>
        <v/>
      </c>
      <c r="AG26" s="12">
        <f>IF(T3_LP_SPLIT&lt;=0,0,AG25/T3_LP_SPLIT)</f>
        <v/>
      </c>
      <c r="AH26" s="12">
        <f>IF(T3_LP_SPLIT&lt;=0,0,AH25/T3_LP_SPLIT)</f>
        <v/>
      </c>
      <c r="AI26" s="12">
        <f>IF(T3_LP_SPLIT&lt;=0,0,AI25/T3_LP_SPLIT)</f>
        <v/>
      </c>
      <c r="AJ26" s="12">
        <f>IF(T3_LP_SPLIT&lt;=0,0,AJ25/T3_LP_SPLIT)</f>
        <v/>
      </c>
      <c r="AK26" s="12">
        <f>IF(T3_LP_SPLIT&lt;=0,0,AK25/T3_LP_SPLIT)</f>
        <v/>
      </c>
      <c r="AL26" s="12">
        <f>IF(T3_LP_SPLIT&lt;=0,0,AL25/T3_LP_SPLIT)</f>
        <v/>
      </c>
      <c r="AM26" s="12">
        <f>IF(T3_LP_SPLIT&lt;=0,0,AM25/T3_LP_SPLIT)</f>
        <v/>
      </c>
      <c r="AN26" s="12">
        <f>IF(T3_LP_SPLIT&lt;=0,0,AN25/T3_LP_SPLIT)</f>
        <v/>
      </c>
      <c r="AO26" s="12">
        <f>IF(T3_LP_SPLIT&lt;=0,0,AO25/T3_LP_SPLIT)</f>
        <v/>
      </c>
      <c r="AP26" s="12">
        <f>IF(T3_LP_SPLIT&lt;=0,0,AP25/T3_LP_SPLIT)</f>
        <v/>
      </c>
      <c r="AQ26" s="12">
        <f>IF(T3_LP_SPLIT&lt;=0,0,AQ25/T3_LP_SPLIT)</f>
        <v/>
      </c>
      <c r="AR26" s="12">
        <f>IF(T3_LP_SPLIT&lt;=0,0,AR25/T3_LP_SPLIT)</f>
        <v/>
      </c>
      <c r="AS26" s="12">
        <f>IF(T3_LP_SPLIT&lt;=0,0,AS25/T3_LP_SPLIT)</f>
        <v/>
      </c>
      <c r="AT26" s="12">
        <f>IF(T3_LP_SPLIT&lt;=0,0,AT25/T3_LP_SPLIT)</f>
        <v/>
      </c>
      <c r="AU26" s="12">
        <f>IF(T3_LP_SPLIT&lt;=0,0,AU25/T3_LP_SPLIT)</f>
        <v/>
      </c>
      <c r="AV26" s="12">
        <f>IF(T3_LP_SPLIT&lt;=0,0,AV25/T3_LP_SPLIT)</f>
        <v/>
      </c>
      <c r="AW26" s="12">
        <f>IF(T3_LP_SPLIT&lt;=0,0,AW25/T3_LP_SPLIT)</f>
        <v/>
      </c>
      <c r="AX26" s="12">
        <f>IF(T3_LP_SPLIT&lt;=0,0,AX25/T3_LP_SPLIT)</f>
        <v/>
      </c>
      <c r="AY26" s="12">
        <f>IF(T3_LP_SPLIT&lt;=0,0,AY25/T3_LP_SPLIT)</f>
        <v/>
      </c>
      <c r="AZ26" s="12">
        <f>IF(T3_LP_SPLIT&lt;=0,0,AZ25/T3_LP_SPLIT)</f>
        <v/>
      </c>
      <c r="BA26" s="12">
        <f>IF(T3_LP_SPLIT&lt;=0,0,BA25/T3_LP_SPLIT)</f>
        <v/>
      </c>
      <c r="BB26" s="12">
        <f>IF(T3_LP_SPLIT&lt;=0,0,BB25/T3_LP_SPLIT)</f>
        <v/>
      </c>
      <c r="BC26" s="12">
        <f>IF(T3_LP_SPLIT&lt;=0,0,BC25/T3_LP_SPLIT)</f>
        <v/>
      </c>
      <c r="BD26" s="12">
        <f>IF(T3_LP_SPLIT&lt;=0,0,BD25/T3_LP_SPLIT)</f>
        <v/>
      </c>
      <c r="BE26" s="12">
        <f>IF(T3_LP_SPLIT&lt;=0,0,BE25/T3_LP_SPLIT)</f>
        <v/>
      </c>
      <c r="BF26" s="12">
        <f>IF(T3_LP_SPLIT&lt;=0,0,BF25/T3_LP_SPLIT)</f>
        <v/>
      </c>
      <c r="BG26" s="12">
        <f>IF(T3_LP_SPLIT&lt;=0,0,BG25/T3_LP_SPLIT)</f>
        <v/>
      </c>
      <c r="BH26" s="12">
        <f>IF(T3_LP_SPLIT&lt;=0,0,BH25/T3_LP_SPLIT)</f>
        <v/>
      </c>
      <c r="BI26" s="12">
        <f>IF(T3_LP_SPLIT&lt;=0,0,BI25/T3_LP_SPLIT)</f>
        <v/>
      </c>
      <c r="BJ26" s="12">
        <f>IF(T3_LP_SPLIT&lt;=0,0,BJ25/T3_LP_SPLIT)</f>
        <v/>
      </c>
      <c r="BK26" s="12">
        <f>IF(T3_LP_SPLIT&lt;=0,0,BK25/T3_LP_SPLIT)</f>
        <v/>
      </c>
      <c r="BL26" s="12">
        <f>IF(T3_LP_SPLIT&lt;=0,0,BL25/T3_LP_SPLIT)</f>
        <v/>
      </c>
      <c r="BM26" s="12">
        <f>IF(T3_LP_SPLIT&lt;=0,0,BM25/T3_LP_SPLIT)</f>
        <v/>
      </c>
      <c r="BN26" s="12">
        <f>IF(T3_LP_SPLIT&lt;=0,0,BN25/T3_LP_SPLIT)</f>
        <v/>
      </c>
      <c r="BO26" s="12">
        <f>IF(T3_LP_SPLIT&lt;=0,0,BO25/T3_LP_SPLIT)</f>
        <v/>
      </c>
      <c r="BP26" s="12">
        <f>IF(T3_LP_SPLIT&lt;=0,0,BP25/T3_LP_SPLIT)</f>
        <v/>
      </c>
      <c r="BQ26" s="12">
        <f>IF(T3_LP_SPLIT&lt;=0,0,BQ25/T3_LP_SPLIT)</f>
        <v/>
      </c>
      <c r="BR26" s="12">
        <f>IF(T3_LP_SPLIT&lt;=0,0,BR25/T3_LP_SPLIT)</f>
        <v/>
      </c>
      <c r="BS26" s="12">
        <f>IF(T3_LP_SPLIT&lt;=0,0,BS25/T3_LP_SPLIT)</f>
        <v/>
      </c>
      <c r="BT26" s="12">
        <f>IF(T3_LP_SPLIT&lt;=0,0,BT25/T3_LP_SPLIT)</f>
        <v/>
      </c>
      <c r="BU26" s="12">
        <f>IF(T3_LP_SPLIT&lt;=0,0,BU25/T3_LP_SPLIT)</f>
        <v/>
      </c>
      <c r="BV26" s="12">
        <f>IF(T3_LP_SPLIT&lt;=0,0,BV25/T3_LP_SPLIT)</f>
        <v/>
      </c>
      <c r="BW26" s="12">
        <f>IF(T3_LP_SPLIT&lt;=0,0,BW25/T3_LP_SPLIT)</f>
        <v/>
      </c>
      <c r="BX26" s="12">
        <f>IF(T3_LP_SPLIT&lt;=0,0,BX25/T3_LP_SPLIT)</f>
        <v/>
      </c>
      <c r="BY26" s="12">
        <f>IF(T3_LP_SPLIT&lt;=0,0,BY25/T3_LP_SPLIT)</f>
        <v/>
      </c>
      <c r="BZ26" s="12">
        <f>IF(T3_LP_SPLIT&lt;=0,0,BZ25/T3_LP_SPLIT)</f>
        <v/>
      </c>
      <c r="CA26" s="12">
        <f>IF(T3_LP_SPLIT&lt;=0,0,CA25/T3_LP_SPLIT)</f>
        <v/>
      </c>
      <c r="CB26" s="12">
        <f>IF(T3_LP_SPLIT&lt;=0,0,CB25/T3_LP_SPLIT)</f>
        <v/>
      </c>
      <c r="CC26" s="12">
        <f>IF(T3_LP_SPLIT&lt;=0,0,CC25/T3_LP_SPLIT)</f>
        <v/>
      </c>
      <c r="CD26" s="12">
        <f>IF(T3_LP_SPLIT&lt;=0,0,CD25/T3_LP_SPLIT)</f>
        <v/>
      </c>
      <c r="CE26" s="12">
        <f>IF(T3_LP_SPLIT&lt;=0,0,CE25/T3_LP_SPLIT)</f>
        <v/>
      </c>
      <c r="CF26" s="12">
        <f>IF(T3_LP_SPLIT&lt;=0,0,CF25/T3_LP_SPLIT)</f>
        <v/>
      </c>
      <c r="CG26" s="12">
        <f>IF(T3_LP_SPLIT&lt;=0,0,CG25/T3_LP_SPLIT)</f>
        <v/>
      </c>
      <c r="CH26" s="12">
        <f>IF(T3_LP_SPLIT&lt;=0,0,CH25/T3_LP_SPLIT)</f>
        <v/>
      </c>
    </row>
    <row r="27">
      <c r="A27" s="3" t="inlineStr">
        <is>
          <t>Tier 4 already open</t>
        </is>
      </c>
      <c r="B27" s="4" t="inlineStr">
        <is>
          <t>1/0</t>
        </is>
      </c>
      <c r="C27" s="10">
        <f>0</f>
        <v/>
      </c>
      <c r="D27" s="10">
        <f>C32</f>
        <v/>
      </c>
      <c r="E27" s="10">
        <f>D32</f>
        <v/>
      </c>
      <c r="F27" s="10">
        <f>E32</f>
        <v/>
      </c>
      <c r="G27" s="10">
        <f>F32</f>
        <v/>
      </c>
      <c r="H27" s="10">
        <f>G32</f>
        <v/>
      </c>
      <c r="I27" s="10">
        <f>H32</f>
        <v/>
      </c>
      <c r="J27" s="10">
        <f>I32</f>
        <v/>
      </c>
      <c r="K27" s="10">
        <f>J32</f>
        <v/>
      </c>
      <c r="L27" s="10">
        <f>K32</f>
        <v/>
      </c>
      <c r="M27" s="10">
        <f>L32</f>
        <v/>
      </c>
      <c r="N27" s="10">
        <f>M32</f>
        <v/>
      </c>
      <c r="O27" s="10">
        <f>N32</f>
        <v/>
      </c>
      <c r="P27" s="10">
        <f>O32</f>
        <v/>
      </c>
      <c r="Q27" s="10">
        <f>P32</f>
        <v/>
      </c>
      <c r="R27" s="10">
        <f>Q32</f>
        <v/>
      </c>
      <c r="S27" s="10">
        <f>R32</f>
        <v/>
      </c>
      <c r="T27" s="10">
        <f>S32</f>
        <v/>
      </c>
      <c r="U27" s="10">
        <f>T32</f>
        <v/>
      </c>
      <c r="V27" s="10">
        <f>U32</f>
        <v/>
      </c>
      <c r="W27" s="10">
        <f>V32</f>
        <v/>
      </c>
      <c r="X27" s="10">
        <f>W32</f>
        <v/>
      </c>
      <c r="Y27" s="10">
        <f>X32</f>
        <v/>
      </c>
      <c r="Z27" s="10">
        <f>Y32</f>
        <v/>
      </c>
      <c r="AA27" s="10">
        <f>Z32</f>
        <v/>
      </c>
      <c r="AB27" s="10">
        <f>AA32</f>
        <v/>
      </c>
      <c r="AC27" s="10">
        <f>AB32</f>
        <v/>
      </c>
      <c r="AD27" s="10">
        <f>AC32</f>
        <v/>
      </c>
      <c r="AE27" s="10">
        <f>AD32</f>
        <v/>
      </c>
      <c r="AF27" s="10">
        <f>AE32</f>
        <v/>
      </c>
      <c r="AG27" s="10">
        <f>AF32</f>
        <v/>
      </c>
      <c r="AH27" s="10">
        <f>AG32</f>
        <v/>
      </c>
      <c r="AI27" s="10">
        <f>AH32</f>
        <v/>
      </c>
      <c r="AJ27" s="10">
        <f>AI32</f>
        <v/>
      </c>
      <c r="AK27" s="10">
        <f>AJ32</f>
        <v/>
      </c>
      <c r="AL27" s="10">
        <f>AK32</f>
        <v/>
      </c>
      <c r="AM27" s="10">
        <f>AL32</f>
        <v/>
      </c>
      <c r="AN27" s="10">
        <f>AM32</f>
        <v/>
      </c>
      <c r="AO27" s="10">
        <f>AN32</f>
        <v/>
      </c>
      <c r="AP27" s="10">
        <f>AO32</f>
        <v/>
      </c>
      <c r="AQ27" s="10">
        <f>AP32</f>
        <v/>
      </c>
      <c r="AR27" s="10">
        <f>AQ32</f>
        <v/>
      </c>
      <c r="AS27" s="10">
        <f>AR32</f>
        <v/>
      </c>
      <c r="AT27" s="10">
        <f>AS32</f>
        <v/>
      </c>
      <c r="AU27" s="10">
        <f>AT32</f>
        <v/>
      </c>
      <c r="AV27" s="10">
        <f>AU32</f>
        <v/>
      </c>
      <c r="AW27" s="10">
        <f>AV32</f>
        <v/>
      </c>
      <c r="AX27" s="10">
        <f>AW32</f>
        <v/>
      </c>
      <c r="AY27" s="10">
        <f>AX32</f>
        <v/>
      </c>
      <c r="AZ27" s="10">
        <f>AY32</f>
        <v/>
      </c>
      <c r="BA27" s="10">
        <f>AZ32</f>
        <v/>
      </c>
      <c r="BB27" s="10">
        <f>BA32</f>
        <v/>
      </c>
      <c r="BC27" s="10">
        <f>BB32</f>
        <v/>
      </c>
      <c r="BD27" s="10">
        <f>BC32</f>
        <v/>
      </c>
      <c r="BE27" s="10">
        <f>BD32</f>
        <v/>
      </c>
      <c r="BF27" s="10">
        <f>BE32</f>
        <v/>
      </c>
      <c r="BG27" s="10">
        <f>BF32</f>
        <v/>
      </c>
      <c r="BH27" s="10">
        <f>BG32</f>
        <v/>
      </c>
      <c r="BI27" s="10">
        <f>BH32</f>
        <v/>
      </c>
      <c r="BJ27" s="10">
        <f>BI32</f>
        <v/>
      </c>
      <c r="BK27" s="10">
        <f>BJ32</f>
        <v/>
      </c>
      <c r="BL27" s="10">
        <f>BK32</f>
        <v/>
      </c>
      <c r="BM27" s="10">
        <f>BL32</f>
        <v/>
      </c>
      <c r="BN27" s="10">
        <f>BM32</f>
        <v/>
      </c>
      <c r="BO27" s="10">
        <f>BN32</f>
        <v/>
      </c>
      <c r="BP27" s="10">
        <f>BO32</f>
        <v/>
      </c>
      <c r="BQ27" s="10">
        <f>BP32</f>
        <v/>
      </c>
      <c r="BR27" s="10">
        <f>BQ32</f>
        <v/>
      </c>
      <c r="BS27" s="10">
        <f>BR32</f>
        <v/>
      </c>
      <c r="BT27" s="10">
        <f>BS32</f>
        <v/>
      </c>
      <c r="BU27" s="10">
        <f>BT32</f>
        <v/>
      </c>
      <c r="BV27" s="10">
        <f>BU32</f>
        <v/>
      </c>
      <c r="BW27" s="10">
        <f>BV32</f>
        <v/>
      </c>
      <c r="BX27" s="10">
        <f>BW32</f>
        <v/>
      </c>
      <c r="BY27" s="10">
        <f>BX32</f>
        <v/>
      </c>
      <c r="BZ27" s="10">
        <f>BY32</f>
        <v/>
      </c>
      <c r="CA27" s="10">
        <f>BZ32</f>
        <v/>
      </c>
      <c r="CB27" s="10">
        <f>CA32</f>
        <v/>
      </c>
      <c r="CC27" s="10">
        <f>CB32</f>
        <v/>
      </c>
      <c r="CD27" s="10">
        <f>CC32</f>
        <v/>
      </c>
      <c r="CE27" s="10">
        <f>CD32</f>
        <v/>
      </c>
      <c r="CF27" s="10">
        <f>CE32</f>
        <v/>
      </c>
      <c r="CG27" s="10">
        <f>CF32</f>
        <v/>
      </c>
      <c r="CH27" s="10">
        <f>CG32</f>
        <v/>
      </c>
    </row>
    <row r="28">
      <c r="A28" s="3" t="inlineStr">
        <is>
          <t>Tier 3 distribution</t>
        </is>
      </c>
      <c r="B28" s="4" t="inlineStr">
        <is>
          <t>$</t>
        </is>
      </c>
      <c r="C28" s="12">
        <f>IF(C27=1,0,IF(AND(C22=1,C25&gt;0.01),MIN(MAX(C10-C20,0),C26),0))</f>
        <v/>
      </c>
      <c r="D28" s="12">
        <f>IF(D27=1,0,IF(AND(D22=1,D25&gt;0.01),MIN(MAX(D10-D20,0),D26),0))</f>
        <v/>
      </c>
      <c r="E28" s="12">
        <f>IF(E27=1,0,IF(AND(E22=1,E25&gt;0.01),MIN(MAX(E10-E20,0),E26),0))</f>
        <v/>
      </c>
      <c r="F28" s="12">
        <f>IF(F27=1,0,IF(AND(F22=1,F25&gt;0.01),MIN(MAX(F10-F20,0),F26),0))</f>
        <v/>
      </c>
      <c r="G28" s="12">
        <f>IF(G27=1,0,IF(AND(G22=1,G25&gt;0.01),MIN(MAX(G10-G20,0),G26),0))</f>
        <v/>
      </c>
      <c r="H28" s="12">
        <f>IF(H27=1,0,IF(AND(H22=1,H25&gt;0.01),MIN(MAX(H10-H20,0),H26),0))</f>
        <v/>
      </c>
      <c r="I28" s="12">
        <f>IF(I27=1,0,IF(AND(I22=1,I25&gt;0.01),MIN(MAX(I10-I20,0),I26),0))</f>
        <v/>
      </c>
      <c r="J28" s="12">
        <f>IF(J27=1,0,IF(AND(J22=1,J25&gt;0.01),MIN(MAX(J10-J20,0),J26),0))</f>
        <v/>
      </c>
      <c r="K28" s="12">
        <f>IF(K27=1,0,IF(AND(K22=1,K25&gt;0.01),MIN(MAX(K10-K20,0),K26),0))</f>
        <v/>
      </c>
      <c r="L28" s="12">
        <f>IF(L27=1,0,IF(AND(L22=1,L25&gt;0.01),MIN(MAX(L10-L20,0),L26),0))</f>
        <v/>
      </c>
      <c r="M28" s="12">
        <f>IF(M27=1,0,IF(AND(M22=1,M25&gt;0.01),MIN(MAX(M10-M20,0),M26),0))</f>
        <v/>
      </c>
      <c r="N28" s="12">
        <f>IF(N27=1,0,IF(AND(N22=1,N25&gt;0.01),MIN(MAX(N10-N20,0),N26),0))</f>
        <v/>
      </c>
      <c r="O28" s="12">
        <f>IF(O27=1,0,IF(AND(O22=1,O25&gt;0.01),MIN(MAX(O10-O20,0),O26),0))</f>
        <v/>
      </c>
      <c r="P28" s="12">
        <f>IF(P27=1,0,IF(AND(P22=1,P25&gt;0.01),MIN(MAX(P10-P20,0),P26),0))</f>
        <v/>
      </c>
      <c r="Q28" s="12">
        <f>IF(Q27=1,0,IF(AND(Q22=1,Q25&gt;0.01),MIN(MAX(Q10-Q20,0),Q26),0))</f>
        <v/>
      </c>
      <c r="R28" s="12">
        <f>IF(R27=1,0,IF(AND(R22=1,R25&gt;0.01),MIN(MAX(R10-R20,0),R26),0))</f>
        <v/>
      </c>
      <c r="S28" s="12">
        <f>IF(S27=1,0,IF(AND(S22=1,S25&gt;0.01),MIN(MAX(S10-S20,0),S26),0))</f>
        <v/>
      </c>
      <c r="T28" s="12">
        <f>IF(T27=1,0,IF(AND(T22=1,T25&gt;0.01),MIN(MAX(T10-T20,0),T26),0))</f>
        <v/>
      </c>
      <c r="U28" s="12">
        <f>IF(U27=1,0,IF(AND(U22=1,U25&gt;0.01),MIN(MAX(U10-U20,0),U26),0))</f>
        <v/>
      </c>
      <c r="V28" s="12">
        <f>IF(V27=1,0,IF(AND(V22=1,V25&gt;0.01),MIN(MAX(V10-V20,0),V26),0))</f>
        <v/>
      </c>
      <c r="W28" s="12">
        <f>IF(W27=1,0,IF(AND(W22=1,W25&gt;0.01),MIN(MAX(W10-W20,0),W26),0))</f>
        <v/>
      </c>
      <c r="X28" s="12">
        <f>IF(X27=1,0,IF(AND(X22=1,X25&gt;0.01),MIN(MAX(X10-X20,0),X26),0))</f>
        <v/>
      </c>
      <c r="Y28" s="12">
        <f>IF(Y27=1,0,IF(AND(Y22=1,Y25&gt;0.01),MIN(MAX(Y10-Y20,0),Y26),0))</f>
        <v/>
      </c>
      <c r="Z28" s="12">
        <f>IF(Z27=1,0,IF(AND(Z22=1,Z25&gt;0.01),MIN(MAX(Z10-Z20,0),Z26),0))</f>
        <v/>
      </c>
      <c r="AA28" s="12">
        <f>IF(AA27=1,0,IF(AND(AA22=1,AA25&gt;0.01),MIN(MAX(AA10-AA20,0),AA26),0))</f>
        <v/>
      </c>
      <c r="AB28" s="12">
        <f>IF(AB27=1,0,IF(AND(AB22=1,AB25&gt;0.01),MIN(MAX(AB10-AB20,0),AB26),0))</f>
        <v/>
      </c>
      <c r="AC28" s="12">
        <f>IF(AC27=1,0,IF(AND(AC22=1,AC25&gt;0.01),MIN(MAX(AC10-AC20,0),AC26),0))</f>
        <v/>
      </c>
      <c r="AD28" s="12">
        <f>IF(AD27=1,0,IF(AND(AD22=1,AD25&gt;0.01),MIN(MAX(AD10-AD20,0),AD26),0))</f>
        <v/>
      </c>
      <c r="AE28" s="12">
        <f>IF(AE27=1,0,IF(AND(AE22=1,AE25&gt;0.01),MIN(MAX(AE10-AE20,0),AE26),0))</f>
        <v/>
      </c>
      <c r="AF28" s="12">
        <f>IF(AF27=1,0,IF(AND(AF22=1,AF25&gt;0.01),MIN(MAX(AF10-AF20,0),AF26),0))</f>
        <v/>
      </c>
      <c r="AG28" s="12">
        <f>IF(AG27=1,0,IF(AND(AG22=1,AG25&gt;0.01),MIN(MAX(AG10-AG20,0),AG26),0))</f>
        <v/>
      </c>
      <c r="AH28" s="12">
        <f>IF(AH27=1,0,IF(AND(AH22=1,AH25&gt;0.01),MIN(MAX(AH10-AH20,0),AH26),0))</f>
        <v/>
      </c>
      <c r="AI28" s="12">
        <f>IF(AI27=1,0,IF(AND(AI22=1,AI25&gt;0.01),MIN(MAX(AI10-AI20,0),AI26),0))</f>
        <v/>
      </c>
      <c r="AJ28" s="12">
        <f>IF(AJ27=1,0,IF(AND(AJ22=1,AJ25&gt;0.01),MIN(MAX(AJ10-AJ20,0),AJ26),0))</f>
        <v/>
      </c>
      <c r="AK28" s="12">
        <f>IF(AK27=1,0,IF(AND(AK22=1,AK25&gt;0.01),MIN(MAX(AK10-AK20,0),AK26),0))</f>
        <v/>
      </c>
      <c r="AL28" s="12">
        <f>IF(AL27=1,0,IF(AND(AL22=1,AL25&gt;0.01),MIN(MAX(AL10-AL20,0),AL26),0))</f>
        <v/>
      </c>
      <c r="AM28" s="12">
        <f>IF(AM27=1,0,IF(AND(AM22=1,AM25&gt;0.01),MIN(MAX(AM10-AM20,0),AM26),0))</f>
        <v/>
      </c>
      <c r="AN28" s="12">
        <f>IF(AN27=1,0,IF(AND(AN22=1,AN25&gt;0.01),MIN(MAX(AN10-AN20,0),AN26),0))</f>
        <v/>
      </c>
      <c r="AO28" s="12">
        <f>IF(AO27=1,0,IF(AND(AO22=1,AO25&gt;0.01),MIN(MAX(AO10-AO20,0),AO26),0))</f>
        <v/>
      </c>
      <c r="AP28" s="12">
        <f>IF(AP27=1,0,IF(AND(AP22=1,AP25&gt;0.01),MIN(MAX(AP10-AP20,0),AP26),0))</f>
        <v/>
      </c>
      <c r="AQ28" s="12">
        <f>IF(AQ27=1,0,IF(AND(AQ22=1,AQ25&gt;0.01),MIN(MAX(AQ10-AQ20,0),AQ26),0))</f>
        <v/>
      </c>
      <c r="AR28" s="12">
        <f>IF(AR27=1,0,IF(AND(AR22=1,AR25&gt;0.01),MIN(MAX(AR10-AR20,0),AR26),0))</f>
        <v/>
      </c>
      <c r="AS28" s="12">
        <f>IF(AS27=1,0,IF(AND(AS22=1,AS25&gt;0.01),MIN(MAX(AS10-AS20,0),AS26),0))</f>
        <v/>
      </c>
      <c r="AT28" s="12">
        <f>IF(AT27=1,0,IF(AND(AT22=1,AT25&gt;0.01),MIN(MAX(AT10-AT20,0),AT26),0))</f>
        <v/>
      </c>
      <c r="AU28" s="12">
        <f>IF(AU27=1,0,IF(AND(AU22=1,AU25&gt;0.01),MIN(MAX(AU10-AU20,0),AU26),0))</f>
        <v/>
      </c>
      <c r="AV28" s="12">
        <f>IF(AV27=1,0,IF(AND(AV22=1,AV25&gt;0.01),MIN(MAX(AV10-AV20,0),AV26),0))</f>
        <v/>
      </c>
      <c r="AW28" s="12">
        <f>IF(AW27=1,0,IF(AND(AW22=1,AW25&gt;0.01),MIN(MAX(AW10-AW20,0),AW26),0))</f>
        <v/>
      </c>
      <c r="AX28" s="12">
        <f>IF(AX27=1,0,IF(AND(AX22=1,AX25&gt;0.01),MIN(MAX(AX10-AX20,0),AX26),0))</f>
        <v/>
      </c>
      <c r="AY28" s="12">
        <f>IF(AY27=1,0,IF(AND(AY22=1,AY25&gt;0.01),MIN(MAX(AY10-AY20,0),AY26),0))</f>
        <v/>
      </c>
      <c r="AZ28" s="12">
        <f>IF(AZ27=1,0,IF(AND(AZ22=1,AZ25&gt;0.01),MIN(MAX(AZ10-AZ20,0),AZ26),0))</f>
        <v/>
      </c>
      <c r="BA28" s="12">
        <f>IF(BA27=1,0,IF(AND(BA22=1,BA25&gt;0.01),MIN(MAX(BA10-BA20,0),BA26),0))</f>
        <v/>
      </c>
      <c r="BB28" s="12">
        <f>IF(BB27=1,0,IF(AND(BB22=1,BB25&gt;0.01),MIN(MAX(BB10-BB20,0),BB26),0))</f>
        <v/>
      </c>
      <c r="BC28" s="12">
        <f>IF(BC27=1,0,IF(AND(BC22=1,BC25&gt;0.01),MIN(MAX(BC10-BC20,0),BC26),0))</f>
        <v/>
      </c>
      <c r="BD28" s="12">
        <f>IF(BD27=1,0,IF(AND(BD22=1,BD25&gt;0.01),MIN(MAX(BD10-BD20,0),BD26),0))</f>
        <v/>
      </c>
      <c r="BE28" s="12">
        <f>IF(BE27=1,0,IF(AND(BE22=1,BE25&gt;0.01),MIN(MAX(BE10-BE20,0),BE26),0))</f>
        <v/>
      </c>
      <c r="BF28" s="12">
        <f>IF(BF27=1,0,IF(AND(BF22=1,BF25&gt;0.01),MIN(MAX(BF10-BF20,0),BF26),0))</f>
        <v/>
      </c>
      <c r="BG28" s="12">
        <f>IF(BG27=1,0,IF(AND(BG22=1,BG25&gt;0.01),MIN(MAX(BG10-BG20,0),BG26),0))</f>
        <v/>
      </c>
      <c r="BH28" s="12">
        <f>IF(BH27=1,0,IF(AND(BH22=1,BH25&gt;0.01),MIN(MAX(BH10-BH20,0),BH26),0))</f>
        <v/>
      </c>
      <c r="BI28" s="12">
        <f>IF(BI27=1,0,IF(AND(BI22=1,BI25&gt;0.01),MIN(MAX(BI10-BI20,0),BI26),0))</f>
        <v/>
      </c>
      <c r="BJ28" s="12">
        <f>IF(BJ27=1,0,IF(AND(BJ22=1,BJ25&gt;0.01),MIN(MAX(BJ10-BJ20,0),BJ26),0))</f>
        <v/>
      </c>
      <c r="BK28" s="12">
        <f>IF(BK27=1,0,IF(AND(BK22=1,BK25&gt;0.01),MIN(MAX(BK10-BK20,0),BK26),0))</f>
        <v/>
      </c>
      <c r="BL28" s="12">
        <f>IF(BL27=1,0,IF(AND(BL22=1,BL25&gt;0.01),MIN(MAX(BL10-BL20,0),BL26),0))</f>
        <v/>
      </c>
      <c r="BM28" s="12">
        <f>IF(BM27=1,0,IF(AND(BM22=1,BM25&gt;0.01),MIN(MAX(BM10-BM20,0),BM26),0))</f>
        <v/>
      </c>
      <c r="BN28" s="12">
        <f>IF(BN27=1,0,IF(AND(BN22=1,BN25&gt;0.01),MIN(MAX(BN10-BN20,0),BN26),0))</f>
        <v/>
      </c>
      <c r="BO28" s="12">
        <f>IF(BO27=1,0,IF(AND(BO22=1,BO25&gt;0.01),MIN(MAX(BO10-BO20,0),BO26),0))</f>
        <v/>
      </c>
      <c r="BP28" s="12">
        <f>IF(BP27=1,0,IF(AND(BP22=1,BP25&gt;0.01),MIN(MAX(BP10-BP20,0),BP26),0))</f>
        <v/>
      </c>
      <c r="BQ28" s="12">
        <f>IF(BQ27=1,0,IF(AND(BQ22=1,BQ25&gt;0.01),MIN(MAX(BQ10-BQ20,0),BQ26),0))</f>
        <v/>
      </c>
      <c r="BR28" s="12">
        <f>IF(BR27=1,0,IF(AND(BR22=1,BR25&gt;0.01),MIN(MAX(BR10-BR20,0),BR26),0))</f>
        <v/>
      </c>
      <c r="BS28" s="12">
        <f>IF(BS27=1,0,IF(AND(BS22=1,BS25&gt;0.01),MIN(MAX(BS10-BS20,0),BS26),0))</f>
        <v/>
      </c>
      <c r="BT28" s="12">
        <f>IF(BT27=1,0,IF(AND(BT22=1,BT25&gt;0.01),MIN(MAX(BT10-BT20,0),BT26),0))</f>
        <v/>
      </c>
      <c r="BU28" s="12">
        <f>IF(BU27=1,0,IF(AND(BU22=1,BU25&gt;0.01),MIN(MAX(BU10-BU20,0),BU26),0))</f>
        <v/>
      </c>
      <c r="BV28" s="12">
        <f>IF(BV27=1,0,IF(AND(BV22=1,BV25&gt;0.01),MIN(MAX(BV10-BV20,0),BV26),0))</f>
        <v/>
      </c>
      <c r="BW28" s="12">
        <f>IF(BW27=1,0,IF(AND(BW22=1,BW25&gt;0.01),MIN(MAX(BW10-BW20,0),BW26),0))</f>
        <v/>
      </c>
      <c r="BX28" s="12">
        <f>IF(BX27=1,0,IF(AND(BX22=1,BX25&gt;0.01),MIN(MAX(BX10-BX20,0),BX26),0))</f>
        <v/>
      </c>
      <c r="BY28" s="12">
        <f>IF(BY27=1,0,IF(AND(BY22=1,BY25&gt;0.01),MIN(MAX(BY10-BY20,0),BY26),0))</f>
        <v/>
      </c>
      <c r="BZ28" s="12">
        <f>IF(BZ27=1,0,IF(AND(BZ22=1,BZ25&gt;0.01),MIN(MAX(BZ10-BZ20,0),BZ26),0))</f>
        <v/>
      </c>
      <c r="CA28" s="12">
        <f>IF(CA27=1,0,IF(AND(CA22=1,CA25&gt;0.01),MIN(MAX(CA10-CA20,0),CA26),0))</f>
        <v/>
      </c>
      <c r="CB28" s="12">
        <f>IF(CB27=1,0,IF(AND(CB22=1,CB25&gt;0.01),MIN(MAX(CB10-CB20,0),CB26),0))</f>
        <v/>
      </c>
      <c r="CC28" s="12">
        <f>IF(CC27=1,0,IF(AND(CC22=1,CC25&gt;0.01),MIN(MAX(CC10-CC20,0),CC26),0))</f>
        <v/>
      </c>
      <c r="CD28" s="12">
        <f>IF(CD27=1,0,IF(AND(CD22=1,CD25&gt;0.01),MIN(MAX(CD10-CD20,0),CD26),0))</f>
        <v/>
      </c>
      <c r="CE28" s="12">
        <f>IF(CE27=1,0,IF(AND(CE22=1,CE25&gt;0.01),MIN(MAX(CE10-CE20,0),CE26),0))</f>
        <v/>
      </c>
      <c r="CF28" s="12">
        <f>IF(CF27=1,0,IF(AND(CF22=1,CF25&gt;0.01),MIN(MAX(CF10-CF20,0),CF26),0))</f>
        <v/>
      </c>
      <c r="CG28" s="12">
        <f>IF(CG27=1,0,IF(AND(CG22=1,CG25&gt;0.01),MIN(MAX(CG10-CG20,0),CG26),0))</f>
        <v/>
      </c>
      <c r="CH28" s="12">
        <f>IF(CH27=1,0,IF(AND(CH22=1,CH25&gt;0.01),MIN(MAX(CH10-CH20,0),CH26),0))</f>
        <v/>
      </c>
    </row>
    <row r="29">
      <c r="A29" s="3" t="inlineStr">
        <is>
          <t>Tier 3 to LP</t>
        </is>
      </c>
      <c r="B29" s="4" t="inlineStr">
        <is>
          <t>$</t>
        </is>
      </c>
      <c r="C29" s="12">
        <f>C28*T3_LP_SPLIT</f>
        <v/>
      </c>
      <c r="D29" s="12">
        <f>D28*T3_LP_SPLIT</f>
        <v/>
      </c>
      <c r="E29" s="12">
        <f>E28*T3_LP_SPLIT</f>
        <v/>
      </c>
      <c r="F29" s="12">
        <f>F28*T3_LP_SPLIT</f>
        <v/>
      </c>
      <c r="G29" s="12">
        <f>G28*T3_LP_SPLIT</f>
        <v/>
      </c>
      <c r="H29" s="12">
        <f>H28*T3_LP_SPLIT</f>
        <v/>
      </c>
      <c r="I29" s="12">
        <f>I28*T3_LP_SPLIT</f>
        <v/>
      </c>
      <c r="J29" s="12">
        <f>J28*T3_LP_SPLIT</f>
        <v/>
      </c>
      <c r="K29" s="12">
        <f>K28*T3_LP_SPLIT</f>
        <v/>
      </c>
      <c r="L29" s="12">
        <f>L28*T3_LP_SPLIT</f>
        <v/>
      </c>
      <c r="M29" s="12">
        <f>M28*T3_LP_SPLIT</f>
        <v/>
      </c>
      <c r="N29" s="12">
        <f>N28*T3_LP_SPLIT</f>
        <v/>
      </c>
      <c r="O29" s="12">
        <f>O28*T3_LP_SPLIT</f>
        <v/>
      </c>
      <c r="P29" s="12">
        <f>P28*T3_LP_SPLIT</f>
        <v/>
      </c>
      <c r="Q29" s="12">
        <f>Q28*T3_LP_SPLIT</f>
        <v/>
      </c>
      <c r="R29" s="12">
        <f>R28*T3_LP_SPLIT</f>
        <v/>
      </c>
      <c r="S29" s="12">
        <f>S28*T3_LP_SPLIT</f>
        <v/>
      </c>
      <c r="T29" s="12">
        <f>T28*T3_LP_SPLIT</f>
        <v/>
      </c>
      <c r="U29" s="12">
        <f>U28*T3_LP_SPLIT</f>
        <v/>
      </c>
      <c r="V29" s="12">
        <f>V28*T3_LP_SPLIT</f>
        <v/>
      </c>
      <c r="W29" s="12">
        <f>W28*T3_LP_SPLIT</f>
        <v/>
      </c>
      <c r="X29" s="12">
        <f>X28*T3_LP_SPLIT</f>
        <v/>
      </c>
      <c r="Y29" s="12">
        <f>Y28*T3_LP_SPLIT</f>
        <v/>
      </c>
      <c r="Z29" s="12">
        <f>Z28*T3_LP_SPLIT</f>
        <v/>
      </c>
      <c r="AA29" s="12">
        <f>AA28*T3_LP_SPLIT</f>
        <v/>
      </c>
      <c r="AB29" s="12">
        <f>AB28*T3_LP_SPLIT</f>
        <v/>
      </c>
      <c r="AC29" s="12">
        <f>AC28*T3_LP_SPLIT</f>
        <v/>
      </c>
      <c r="AD29" s="12">
        <f>AD28*T3_LP_SPLIT</f>
        <v/>
      </c>
      <c r="AE29" s="12">
        <f>AE28*T3_LP_SPLIT</f>
        <v/>
      </c>
      <c r="AF29" s="12">
        <f>AF28*T3_LP_SPLIT</f>
        <v/>
      </c>
      <c r="AG29" s="12">
        <f>AG28*T3_LP_SPLIT</f>
        <v/>
      </c>
      <c r="AH29" s="12">
        <f>AH28*T3_LP_SPLIT</f>
        <v/>
      </c>
      <c r="AI29" s="12">
        <f>AI28*T3_LP_SPLIT</f>
        <v/>
      </c>
      <c r="AJ29" s="12">
        <f>AJ28*T3_LP_SPLIT</f>
        <v/>
      </c>
      <c r="AK29" s="12">
        <f>AK28*T3_LP_SPLIT</f>
        <v/>
      </c>
      <c r="AL29" s="12">
        <f>AL28*T3_LP_SPLIT</f>
        <v/>
      </c>
      <c r="AM29" s="12">
        <f>AM28*T3_LP_SPLIT</f>
        <v/>
      </c>
      <c r="AN29" s="12">
        <f>AN28*T3_LP_SPLIT</f>
        <v/>
      </c>
      <c r="AO29" s="12">
        <f>AO28*T3_LP_SPLIT</f>
        <v/>
      </c>
      <c r="AP29" s="12">
        <f>AP28*T3_LP_SPLIT</f>
        <v/>
      </c>
      <c r="AQ29" s="12">
        <f>AQ28*T3_LP_SPLIT</f>
        <v/>
      </c>
      <c r="AR29" s="12">
        <f>AR28*T3_LP_SPLIT</f>
        <v/>
      </c>
      <c r="AS29" s="12">
        <f>AS28*T3_LP_SPLIT</f>
        <v/>
      </c>
      <c r="AT29" s="12">
        <f>AT28*T3_LP_SPLIT</f>
        <v/>
      </c>
      <c r="AU29" s="12">
        <f>AU28*T3_LP_SPLIT</f>
        <v/>
      </c>
      <c r="AV29" s="12">
        <f>AV28*T3_LP_SPLIT</f>
        <v/>
      </c>
      <c r="AW29" s="12">
        <f>AW28*T3_LP_SPLIT</f>
        <v/>
      </c>
      <c r="AX29" s="12">
        <f>AX28*T3_LP_SPLIT</f>
        <v/>
      </c>
      <c r="AY29" s="12">
        <f>AY28*T3_LP_SPLIT</f>
        <v/>
      </c>
      <c r="AZ29" s="12">
        <f>AZ28*T3_LP_SPLIT</f>
        <v/>
      </c>
      <c r="BA29" s="12">
        <f>BA28*T3_LP_SPLIT</f>
        <v/>
      </c>
      <c r="BB29" s="12">
        <f>BB28*T3_LP_SPLIT</f>
        <v/>
      </c>
      <c r="BC29" s="12">
        <f>BC28*T3_LP_SPLIT</f>
        <v/>
      </c>
      <c r="BD29" s="12">
        <f>BD28*T3_LP_SPLIT</f>
        <v/>
      </c>
      <c r="BE29" s="12">
        <f>BE28*T3_LP_SPLIT</f>
        <v/>
      </c>
      <c r="BF29" s="12">
        <f>BF28*T3_LP_SPLIT</f>
        <v/>
      </c>
      <c r="BG29" s="12">
        <f>BG28*T3_LP_SPLIT</f>
        <v/>
      </c>
      <c r="BH29" s="12">
        <f>BH28*T3_LP_SPLIT</f>
        <v/>
      </c>
      <c r="BI29" s="12">
        <f>BI28*T3_LP_SPLIT</f>
        <v/>
      </c>
      <c r="BJ29" s="12">
        <f>BJ28*T3_LP_SPLIT</f>
        <v/>
      </c>
      <c r="BK29" s="12">
        <f>BK28*T3_LP_SPLIT</f>
        <v/>
      </c>
      <c r="BL29" s="12">
        <f>BL28*T3_LP_SPLIT</f>
        <v/>
      </c>
      <c r="BM29" s="12">
        <f>BM28*T3_LP_SPLIT</f>
        <v/>
      </c>
      <c r="BN29" s="12">
        <f>BN28*T3_LP_SPLIT</f>
        <v/>
      </c>
      <c r="BO29" s="12">
        <f>BO28*T3_LP_SPLIT</f>
        <v/>
      </c>
      <c r="BP29" s="12">
        <f>BP28*T3_LP_SPLIT</f>
        <v/>
      </c>
      <c r="BQ29" s="12">
        <f>BQ28*T3_LP_SPLIT</f>
        <v/>
      </c>
      <c r="BR29" s="12">
        <f>BR28*T3_LP_SPLIT</f>
        <v/>
      </c>
      <c r="BS29" s="12">
        <f>BS28*T3_LP_SPLIT</f>
        <v/>
      </c>
      <c r="BT29" s="12">
        <f>BT28*T3_LP_SPLIT</f>
        <v/>
      </c>
      <c r="BU29" s="12">
        <f>BU28*T3_LP_SPLIT</f>
        <v/>
      </c>
      <c r="BV29" s="12">
        <f>BV28*T3_LP_SPLIT</f>
        <v/>
      </c>
      <c r="BW29" s="12">
        <f>BW28*T3_LP_SPLIT</f>
        <v/>
      </c>
      <c r="BX29" s="12">
        <f>BX28*T3_LP_SPLIT</f>
        <v/>
      </c>
      <c r="BY29" s="12">
        <f>BY28*T3_LP_SPLIT</f>
        <v/>
      </c>
      <c r="BZ29" s="12">
        <f>BZ28*T3_LP_SPLIT</f>
        <v/>
      </c>
      <c r="CA29" s="12">
        <f>CA28*T3_LP_SPLIT</f>
        <v/>
      </c>
      <c r="CB29" s="12">
        <f>CB28*T3_LP_SPLIT</f>
        <v/>
      </c>
      <c r="CC29" s="12">
        <f>CC28*T3_LP_SPLIT</f>
        <v/>
      </c>
      <c r="CD29" s="12">
        <f>CD28*T3_LP_SPLIT</f>
        <v/>
      </c>
      <c r="CE29" s="12">
        <f>CE28*T3_LP_SPLIT</f>
        <v/>
      </c>
      <c r="CF29" s="12">
        <f>CF28*T3_LP_SPLIT</f>
        <v/>
      </c>
      <c r="CG29" s="12">
        <f>CG28*T3_LP_SPLIT</f>
        <v/>
      </c>
      <c r="CH29" s="12">
        <f>CH28*T3_LP_SPLIT</f>
        <v/>
      </c>
    </row>
    <row r="30">
      <c r="A30" s="3" t="inlineStr">
        <is>
          <t>Tier 3 to GP</t>
        </is>
      </c>
      <c r="B30" s="4" t="inlineStr">
        <is>
          <t>$</t>
        </is>
      </c>
      <c r="C30" s="12">
        <f>C28*(1-T3_LP_SPLIT)</f>
        <v/>
      </c>
      <c r="D30" s="12">
        <f>D28*(1-T3_LP_SPLIT)</f>
        <v/>
      </c>
      <c r="E30" s="12">
        <f>E28*(1-T3_LP_SPLIT)</f>
        <v/>
      </c>
      <c r="F30" s="12">
        <f>F28*(1-T3_LP_SPLIT)</f>
        <v/>
      </c>
      <c r="G30" s="12">
        <f>G28*(1-T3_LP_SPLIT)</f>
        <v/>
      </c>
      <c r="H30" s="12">
        <f>H28*(1-T3_LP_SPLIT)</f>
        <v/>
      </c>
      <c r="I30" s="12">
        <f>I28*(1-T3_LP_SPLIT)</f>
        <v/>
      </c>
      <c r="J30" s="12">
        <f>J28*(1-T3_LP_SPLIT)</f>
        <v/>
      </c>
      <c r="K30" s="12">
        <f>K28*(1-T3_LP_SPLIT)</f>
        <v/>
      </c>
      <c r="L30" s="12">
        <f>L28*(1-T3_LP_SPLIT)</f>
        <v/>
      </c>
      <c r="M30" s="12">
        <f>M28*(1-T3_LP_SPLIT)</f>
        <v/>
      </c>
      <c r="N30" s="12">
        <f>N28*(1-T3_LP_SPLIT)</f>
        <v/>
      </c>
      <c r="O30" s="12">
        <f>O28*(1-T3_LP_SPLIT)</f>
        <v/>
      </c>
      <c r="P30" s="12">
        <f>P28*(1-T3_LP_SPLIT)</f>
        <v/>
      </c>
      <c r="Q30" s="12">
        <f>Q28*(1-T3_LP_SPLIT)</f>
        <v/>
      </c>
      <c r="R30" s="12">
        <f>R28*(1-T3_LP_SPLIT)</f>
        <v/>
      </c>
      <c r="S30" s="12">
        <f>S28*(1-T3_LP_SPLIT)</f>
        <v/>
      </c>
      <c r="T30" s="12">
        <f>T28*(1-T3_LP_SPLIT)</f>
        <v/>
      </c>
      <c r="U30" s="12">
        <f>U28*(1-T3_LP_SPLIT)</f>
        <v/>
      </c>
      <c r="V30" s="12">
        <f>V28*(1-T3_LP_SPLIT)</f>
        <v/>
      </c>
      <c r="W30" s="12">
        <f>W28*(1-T3_LP_SPLIT)</f>
        <v/>
      </c>
      <c r="X30" s="12">
        <f>X28*(1-T3_LP_SPLIT)</f>
        <v/>
      </c>
      <c r="Y30" s="12">
        <f>Y28*(1-T3_LP_SPLIT)</f>
        <v/>
      </c>
      <c r="Z30" s="12">
        <f>Z28*(1-T3_LP_SPLIT)</f>
        <v/>
      </c>
      <c r="AA30" s="12">
        <f>AA28*(1-T3_LP_SPLIT)</f>
        <v/>
      </c>
      <c r="AB30" s="12">
        <f>AB28*(1-T3_LP_SPLIT)</f>
        <v/>
      </c>
      <c r="AC30" s="12">
        <f>AC28*(1-T3_LP_SPLIT)</f>
        <v/>
      </c>
      <c r="AD30" s="12">
        <f>AD28*(1-T3_LP_SPLIT)</f>
        <v/>
      </c>
      <c r="AE30" s="12">
        <f>AE28*(1-T3_LP_SPLIT)</f>
        <v/>
      </c>
      <c r="AF30" s="12">
        <f>AF28*(1-T3_LP_SPLIT)</f>
        <v/>
      </c>
      <c r="AG30" s="12">
        <f>AG28*(1-T3_LP_SPLIT)</f>
        <v/>
      </c>
      <c r="AH30" s="12">
        <f>AH28*(1-T3_LP_SPLIT)</f>
        <v/>
      </c>
      <c r="AI30" s="12">
        <f>AI28*(1-T3_LP_SPLIT)</f>
        <v/>
      </c>
      <c r="AJ30" s="12">
        <f>AJ28*(1-T3_LP_SPLIT)</f>
        <v/>
      </c>
      <c r="AK30" s="12">
        <f>AK28*(1-T3_LP_SPLIT)</f>
        <v/>
      </c>
      <c r="AL30" s="12">
        <f>AL28*(1-T3_LP_SPLIT)</f>
        <v/>
      </c>
      <c r="AM30" s="12">
        <f>AM28*(1-T3_LP_SPLIT)</f>
        <v/>
      </c>
      <c r="AN30" s="12">
        <f>AN28*(1-T3_LP_SPLIT)</f>
        <v/>
      </c>
      <c r="AO30" s="12">
        <f>AO28*(1-T3_LP_SPLIT)</f>
        <v/>
      </c>
      <c r="AP30" s="12">
        <f>AP28*(1-T3_LP_SPLIT)</f>
        <v/>
      </c>
      <c r="AQ30" s="12">
        <f>AQ28*(1-T3_LP_SPLIT)</f>
        <v/>
      </c>
      <c r="AR30" s="12">
        <f>AR28*(1-T3_LP_SPLIT)</f>
        <v/>
      </c>
      <c r="AS30" s="12">
        <f>AS28*(1-T3_LP_SPLIT)</f>
        <v/>
      </c>
      <c r="AT30" s="12">
        <f>AT28*(1-T3_LP_SPLIT)</f>
        <v/>
      </c>
      <c r="AU30" s="12">
        <f>AU28*(1-T3_LP_SPLIT)</f>
        <v/>
      </c>
      <c r="AV30" s="12">
        <f>AV28*(1-T3_LP_SPLIT)</f>
        <v/>
      </c>
      <c r="AW30" s="12">
        <f>AW28*(1-T3_LP_SPLIT)</f>
        <v/>
      </c>
      <c r="AX30" s="12">
        <f>AX28*(1-T3_LP_SPLIT)</f>
        <v/>
      </c>
      <c r="AY30" s="12">
        <f>AY28*(1-T3_LP_SPLIT)</f>
        <v/>
      </c>
      <c r="AZ30" s="12">
        <f>AZ28*(1-T3_LP_SPLIT)</f>
        <v/>
      </c>
      <c r="BA30" s="12">
        <f>BA28*(1-T3_LP_SPLIT)</f>
        <v/>
      </c>
      <c r="BB30" s="12">
        <f>BB28*(1-T3_LP_SPLIT)</f>
        <v/>
      </c>
      <c r="BC30" s="12">
        <f>BC28*(1-T3_LP_SPLIT)</f>
        <v/>
      </c>
      <c r="BD30" s="12">
        <f>BD28*(1-T3_LP_SPLIT)</f>
        <v/>
      </c>
      <c r="BE30" s="12">
        <f>BE28*(1-T3_LP_SPLIT)</f>
        <v/>
      </c>
      <c r="BF30" s="12">
        <f>BF28*(1-T3_LP_SPLIT)</f>
        <v/>
      </c>
      <c r="BG30" s="12">
        <f>BG28*(1-T3_LP_SPLIT)</f>
        <v/>
      </c>
      <c r="BH30" s="12">
        <f>BH28*(1-T3_LP_SPLIT)</f>
        <v/>
      </c>
      <c r="BI30" s="12">
        <f>BI28*(1-T3_LP_SPLIT)</f>
        <v/>
      </c>
      <c r="BJ30" s="12">
        <f>BJ28*(1-T3_LP_SPLIT)</f>
        <v/>
      </c>
      <c r="BK30" s="12">
        <f>BK28*(1-T3_LP_SPLIT)</f>
        <v/>
      </c>
      <c r="BL30" s="12">
        <f>BL28*(1-T3_LP_SPLIT)</f>
        <v/>
      </c>
      <c r="BM30" s="12">
        <f>BM28*(1-T3_LP_SPLIT)</f>
        <v/>
      </c>
      <c r="BN30" s="12">
        <f>BN28*(1-T3_LP_SPLIT)</f>
        <v/>
      </c>
      <c r="BO30" s="12">
        <f>BO28*(1-T3_LP_SPLIT)</f>
        <v/>
      </c>
      <c r="BP30" s="12">
        <f>BP28*(1-T3_LP_SPLIT)</f>
        <v/>
      </c>
      <c r="BQ30" s="12">
        <f>BQ28*(1-T3_LP_SPLIT)</f>
        <v/>
      </c>
      <c r="BR30" s="12">
        <f>BR28*(1-T3_LP_SPLIT)</f>
        <v/>
      </c>
      <c r="BS30" s="12">
        <f>BS28*(1-T3_LP_SPLIT)</f>
        <v/>
      </c>
      <c r="BT30" s="12">
        <f>BT28*(1-T3_LP_SPLIT)</f>
        <v/>
      </c>
      <c r="BU30" s="12">
        <f>BU28*(1-T3_LP_SPLIT)</f>
        <v/>
      </c>
      <c r="BV30" s="12">
        <f>BV28*(1-T3_LP_SPLIT)</f>
        <v/>
      </c>
      <c r="BW30" s="12">
        <f>BW28*(1-T3_LP_SPLIT)</f>
        <v/>
      </c>
      <c r="BX30" s="12">
        <f>BX28*(1-T3_LP_SPLIT)</f>
        <v/>
      </c>
      <c r="BY30" s="12">
        <f>BY28*(1-T3_LP_SPLIT)</f>
        <v/>
      </c>
      <c r="BZ30" s="12">
        <f>BZ28*(1-T3_LP_SPLIT)</f>
        <v/>
      </c>
      <c r="CA30" s="12">
        <f>CA28*(1-T3_LP_SPLIT)</f>
        <v/>
      </c>
      <c r="CB30" s="12">
        <f>CB28*(1-T3_LP_SPLIT)</f>
        <v/>
      </c>
      <c r="CC30" s="12">
        <f>CC28*(1-T3_LP_SPLIT)</f>
        <v/>
      </c>
      <c r="CD30" s="12">
        <f>CD28*(1-T3_LP_SPLIT)</f>
        <v/>
      </c>
      <c r="CE30" s="12">
        <f>CE28*(1-T3_LP_SPLIT)</f>
        <v/>
      </c>
      <c r="CF30" s="12">
        <f>CF28*(1-T3_LP_SPLIT)</f>
        <v/>
      </c>
      <c r="CG30" s="12">
        <f>CG28*(1-T3_LP_SPLIT)</f>
        <v/>
      </c>
      <c r="CH30" s="12">
        <f>CH28*(1-T3_LP_SPLIT)</f>
        <v/>
      </c>
    </row>
    <row r="31">
      <c r="A31" s="3" t="inlineStr">
        <is>
          <t>Tier 3 gate met this month</t>
        </is>
      </c>
      <c r="B31" s="4" t="inlineStr">
        <is>
          <t>1/0</t>
        </is>
      </c>
      <c r="C31" s="10">
        <f>IF(AND(C22=1,C24+C29+0.01&gt;=C23),1,0)</f>
        <v/>
      </c>
      <c r="D31" s="10">
        <f>IF(AND(D22=1,D24+D29+0.01&gt;=D23),1,0)</f>
        <v/>
      </c>
      <c r="E31" s="10">
        <f>IF(AND(E22=1,E24+E29+0.01&gt;=E23),1,0)</f>
        <v/>
      </c>
      <c r="F31" s="10">
        <f>IF(AND(F22=1,F24+F29+0.01&gt;=F23),1,0)</f>
        <v/>
      </c>
      <c r="G31" s="10">
        <f>IF(AND(G22=1,G24+G29+0.01&gt;=G23),1,0)</f>
        <v/>
      </c>
      <c r="H31" s="10">
        <f>IF(AND(H22=1,H24+H29+0.01&gt;=H23),1,0)</f>
        <v/>
      </c>
      <c r="I31" s="10">
        <f>IF(AND(I22=1,I24+I29+0.01&gt;=I23),1,0)</f>
        <v/>
      </c>
      <c r="J31" s="10">
        <f>IF(AND(J22=1,J24+J29+0.01&gt;=J23),1,0)</f>
        <v/>
      </c>
      <c r="K31" s="10">
        <f>IF(AND(K22=1,K24+K29+0.01&gt;=K23),1,0)</f>
        <v/>
      </c>
      <c r="L31" s="10">
        <f>IF(AND(L22=1,L24+L29+0.01&gt;=L23),1,0)</f>
        <v/>
      </c>
      <c r="M31" s="10">
        <f>IF(AND(M22=1,M24+M29+0.01&gt;=M23),1,0)</f>
        <v/>
      </c>
      <c r="N31" s="10">
        <f>IF(AND(N22=1,N24+N29+0.01&gt;=N23),1,0)</f>
        <v/>
      </c>
      <c r="O31" s="10">
        <f>IF(AND(O22=1,O24+O29+0.01&gt;=O23),1,0)</f>
        <v/>
      </c>
      <c r="P31" s="10">
        <f>IF(AND(P22=1,P24+P29+0.01&gt;=P23),1,0)</f>
        <v/>
      </c>
      <c r="Q31" s="10">
        <f>IF(AND(Q22=1,Q24+Q29+0.01&gt;=Q23),1,0)</f>
        <v/>
      </c>
      <c r="R31" s="10">
        <f>IF(AND(R22=1,R24+R29+0.01&gt;=R23),1,0)</f>
        <v/>
      </c>
      <c r="S31" s="10">
        <f>IF(AND(S22=1,S24+S29+0.01&gt;=S23),1,0)</f>
        <v/>
      </c>
      <c r="T31" s="10">
        <f>IF(AND(T22=1,T24+T29+0.01&gt;=T23),1,0)</f>
        <v/>
      </c>
      <c r="U31" s="10">
        <f>IF(AND(U22=1,U24+U29+0.01&gt;=U23),1,0)</f>
        <v/>
      </c>
      <c r="V31" s="10">
        <f>IF(AND(V22=1,V24+V29+0.01&gt;=V23),1,0)</f>
        <v/>
      </c>
      <c r="W31" s="10">
        <f>IF(AND(W22=1,W24+W29+0.01&gt;=W23),1,0)</f>
        <v/>
      </c>
      <c r="X31" s="10">
        <f>IF(AND(X22=1,X24+X29+0.01&gt;=X23),1,0)</f>
        <v/>
      </c>
      <c r="Y31" s="10">
        <f>IF(AND(Y22=1,Y24+Y29+0.01&gt;=Y23),1,0)</f>
        <v/>
      </c>
      <c r="Z31" s="10">
        <f>IF(AND(Z22=1,Z24+Z29+0.01&gt;=Z23),1,0)</f>
        <v/>
      </c>
      <c r="AA31" s="10">
        <f>IF(AND(AA22=1,AA24+AA29+0.01&gt;=AA23),1,0)</f>
        <v/>
      </c>
      <c r="AB31" s="10">
        <f>IF(AND(AB22=1,AB24+AB29+0.01&gt;=AB23),1,0)</f>
        <v/>
      </c>
      <c r="AC31" s="10">
        <f>IF(AND(AC22=1,AC24+AC29+0.01&gt;=AC23),1,0)</f>
        <v/>
      </c>
      <c r="AD31" s="10">
        <f>IF(AND(AD22=1,AD24+AD29+0.01&gt;=AD23),1,0)</f>
        <v/>
      </c>
      <c r="AE31" s="10">
        <f>IF(AND(AE22=1,AE24+AE29+0.01&gt;=AE23),1,0)</f>
        <v/>
      </c>
      <c r="AF31" s="10">
        <f>IF(AND(AF22=1,AF24+AF29+0.01&gt;=AF23),1,0)</f>
        <v/>
      </c>
      <c r="AG31" s="10">
        <f>IF(AND(AG22=1,AG24+AG29+0.01&gt;=AG23),1,0)</f>
        <v/>
      </c>
      <c r="AH31" s="10">
        <f>IF(AND(AH22=1,AH24+AH29+0.01&gt;=AH23),1,0)</f>
        <v/>
      </c>
      <c r="AI31" s="10">
        <f>IF(AND(AI22=1,AI24+AI29+0.01&gt;=AI23),1,0)</f>
        <v/>
      </c>
      <c r="AJ31" s="10">
        <f>IF(AND(AJ22=1,AJ24+AJ29+0.01&gt;=AJ23),1,0)</f>
        <v/>
      </c>
      <c r="AK31" s="10">
        <f>IF(AND(AK22=1,AK24+AK29+0.01&gt;=AK23),1,0)</f>
        <v/>
      </c>
      <c r="AL31" s="10">
        <f>IF(AND(AL22=1,AL24+AL29+0.01&gt;=AL23),1,0)</f>
        <v/>
      </c>
      <c r="AM31" s="10">
        <f>IF(AND(AM22=1,AM24+AM29+0.01&gt;=AM23),1,0)</f>
        <v/>
      </c>
      <c r="AN31" s="10">
        <f>IF(AND(AN22=1,AN24+AN29+0.01&gt;=AN23),1,0)</f>
        <v/>
      </c>
      <c r="AO31" s="10">
        <f>IF(AND(AO22=1,AO24+AO29+0.01&gt;=AO23),1,0)</f>
        <v/>
      </c>
      <c r="AP31" s="10">
        <f>IF(AND(AP22=1,AP24+AP29+0.01&gt;=AP23),1,0)</f>
        <v/>
      </c>
      <c r="AQ31" s="10">
        <f>IF(AND(AQ22=1,AQ24+AQ29+0.01&gt;=AQ23),1,0)</f>
        <v/>
      </c>
      <c r="AR31" s="10">
        <f>IF(AND(AR22=1,AR24+AR29+0.01&gt;=AR23),1,0)</f>
        <v/>
      </c>
      <c r="AS31" s="10">
        <f>IF(AND(AS22=1,AS24+AS29+0.01&gt;=AS23),1,0)</f>
        <v/>
      </c>
      <c r="AT31" s="10">
        <f>IF(AND(AT22=1,AT24+AT29+0.01&gt;=AT23),1,0)</f>
        <v/>
      </c>
      <c r="AU31" s="10">
        <f>IF(AND(AU22=1,AU24+AU29+0.01&gt;=AU23),1,0)</f>
        <v/>
      </c>
      <c r="AV31" s="10">
        <f>IF(AND(AV22=1,AV24+AV29+0.01&gt;=AV23),1,0)</f>
        <v/>
      </c>
      <c r="AW31" s="10">
        <f>IF(AND(AW22=1,AW24+AW29+0.01&gt;=AW23),1,0)</f>
        <v/>
      </c>
      <c r="AX31" s="10">
        <f>IF(AND(AX22=1,AX24+AX29+0.01&gt;=AX23),1,0)</f>
        <v/>
      </c>
      <c r="AY31" s="10">
        <f>IF(AND(AY22=1,AY24+AY29+0.01&gt;=AY23),1,0)</f>
        <v/>
      </c>
      <c r="AZ31" s="10">
        <f>IF(AND(AZ22=1,AZ24+AZ29+0.01&gt;=AZ23),1,0)</f>
        <v/>
      </c>
      <c r="BA31" s="10">
        <f>IF(AND(BA22=1,BA24+BA29+0.01&gt;=BA23),1,0)</f>
        <v/>
      </c>
      <c r="BB31" s="10">
        <f>IF(AND(BB22=1,BB24+BB29+0.01&gt;=BB23),1,0)</f>
        <v/>
      </c>
      <c r="BC31" s="10">
        <f>IF(AND(BC22=1,BC24+BC29+0.01&gt;=BC23),1,0)</f>
        <v/>
      </c>
      <c r="BD31" s="10">
        <f>IF(AND(BD22=1,BD24+BD29+0.01&gt;=BD23),1,0)</f>
        <v/>
      </c>
      <c r="BE31" s="10">
        <f>IF(AND(BE22=1,BE24+BE29+0.01&gt;=BE23),1,0)</f>
        <v/>
      </c>
      <c r="BF31" s="10">
        <f>IF(AND(BF22=1,BF24+BF29+0.01&gt;=BF23),1,0)</f>
        <v/>
      </c>
      <c r="BG31" s="10">
        <f>IF(AND(BG22=1,BG24+BG29+0.01&gt;=BG23),1,0)</f>
        <v/>
      </c>
      <c r="BH31" s="10">
        <f>IF(AND(BH22=1,BH24+BH29+0.01&gt;=BH23),1,0)</f>
        <v/>
      </c>
      <c r="BI31" s="10">
        <f>IF(AND(BI22=1,BI24+BI29+0.01&gt;=BI23),1,0)</f>
        <v/>
      </c>
      <c r="BJ31" s="10">
        <f>IF(AND(BJ22=1,BJ24+BJ29+0.01&gt;=BJ23),1,0)</f>
        <v/>
      </c>
      <c r="BK31" s="10">
        <f>IF(AND(BK22=1,BK24+BK29+0.01&gt;=BK23),1,0)</f>
        <v/>
      </c>
      <c r="BL31" s="10">
        <f>IF(AND(BL22=1,BL24+BL29+0.01&gt;=BL23),1,0)</f>
        <v/>
      </c>
      <c r="BM31" s="10">
        <f>IF(AND(BM22=1,BM24+BM29+0.01&gt;=BM23),1,0)</f>
        <v/>
      </c>
      <c r="BN31" s="10">
        <f>IF(AND(BN22=1,BN24+BN29+0.01&gt;=BN23),1,0)</f>
        <v/>
      </c>
      <c r="BO31" s="10">
        <f>IF(AND(BO22=1,BO24+BO29+0.01&gt;=BO23),1,0)</f>
        <v/>
      </c>
      <c r="BP31" s="10">
        <f>IF(AND(BP22=1,BP24+BP29+0.01&gt;=BP23),1,0)</f>
        <v/>
      </c>
      <c r="BQ31" s="10">
        <f>IF(AND(BQ22=1,BQ24+BQ29+0.01&gt;=BQ23),1,0)</f>
        <v/>
      </c>
      <c r="BR31" s="10">
        <f>IF(AND(BR22=1,BR24+BR29+0.01&gt;=BR23),1,0)</f>
        <v/>
      </c>
      <c r="BS31" s="10">
        <f>IF(AND(BS22=1,BS24+BS29+0.01&gt;=BS23),1,0)</f>
        <v/>
      </c>
      <c r="BT31" s="10">
        <f>IF(AND(BT22=1,BT24+BT29+0.01&gt;=BT23),1,0)</f>
        <v/>
      </c>
      <c r="BU31" s="10">
        <f>IF(AND(BU22=1,BU24+BU29+0.01&gt;=BU23),1,0)</f>
        <v/>
      </c>
      <c r="BV31" s="10">
        <f>IF(AND(BV22=1,BV24+BV29+0.01&gt;=BV23),1,0)</f>
        <v/>
      </c>
      <c r="BW31" s="10">
        <f>IF(AND(BW22=1,BW24+BW29+0.01&gt;=BW23),1,0)</f>
        <v/>
      </c>
      <c r="BX31" s="10">
        <f>IF(AND(BX22=1,BX24+BX29+0.01&gt;=BX23),1,0)</f>
        <v/>
      </c>
      <c r="BY31" s="10">
        <f>IF(AND(BY22=1,BY24+BY29+0.01&gt;=BY23),1,0)</f>
        <v/>
      </c>
      <c r="BZ31" s="10">
        <f>IF(AND(BZ22=1,BZ24+BZ29+0.01&gt;=BZ23),1,0)</f>
        <v/>
      </c>
      <c r="CA31" s="10">
        <f>IF(AND(CA22=1,CA24+CA29+0.01&gt;=CA23),1,0)</f>
        <v/>
      </c>
      <c r="CB31" s="10">
        <f>IF(AND(CB22=1,CB24+CB29+0.01&gt;=CB23),1,0)</f>
        <v/>
      </c>
      <c r="CC31" s="10">
        <f>IF(AND(CC22=1,CC24+CC29+0.01&gt;=CC23),1,0)</f>
        <v/>
      </c>
      <c r="CD31" s="10">
        <f>IF(AND(CD22=1,CD24+CD29+0.01&gt;=CD23),1,0)</f>
        <v/>
      </c>
      <c r="CE31" s="10">
        <f>IF(AND(CE22=1,CE24+CE29+0.01&gt;=CE23),1,0)</f>
        <v/>
      </c>
      <c r="CF31" s="10">
        <f>IF(AND(CF22=1,CF24+CF29+0.01&gt;=CF23),1,0)</f>
        <v/>
      </c>
      <c r="CG31" s="10">
        <f>IF(AND(CG22=1,CG24+CG29+0.01&gt;=CG23),1,0)</f>
        <v/>
      </c>
      <c r="CH31" s="10">
        <f>IF(AND(CH22=1,CH24+CH29+0.01&gt;=CH23),1,0)</f>
        <v/>
      </c>
    </row>
    <row r="32">
      <c r="A32" s="3" t="inlineStr">
        <is>
          <t>Tier 4 open</t>
        </is>
      </c>
      <c r="B32" s="4" t="inlineStr">
        <is>
          <t>1/0</t>
        </is>
      </c>
      <c r="C32" s="10">
        <f>IF(OR(C27=1,C31=1),1,0)</f>
        <v/>
      </c>
      <c r="D32" s="10">
        <f>IF(OR(D27=1,D31=1),1,0)</f>
        <v/>
      </c>
      <c r="E32" s="10">
        <f>IF(OR(E27=1,E31=1),1,0)</f>
        <v/>
      </c>
      <c r="F32" s="10">
        <f>IF(OR(F27=1,F31=1),1,0)</f>
        <v/>
      </c>
      <c r="G32" s="10">
        <f>IF(OR(G27=1,G31=1),1,0)</f>
        <v/>
      </c>
      <c r="H32" s="10">
        <f>IF(OR(H27=1,H31=1),1,0)</f>
        <v/>
      </c>
      <c r="I32" s="10">
        <f>IF(OR(I27=1,I31=1),1,0)</f>
        <v/>
      </c>
      <c r="J32" s="10">
        <f>IF(OR(J27=1,J31=1),1,0)</f>
        <v/>
      </c>
      <c r="K32" s="10">
        <f>IF(OR(K27=1,K31=1),1,0)</f>
        <v/>
      </c>
      <c r="L32" s="10">
        <f>IF(OR(L27=1,L31=1),1,0)</f>
        <v/>
      </c>
      <c r="M32" s="10">
        <f>IF(OR(M27=1,M31=1),1,0)</f>
        <v/>
      </c>
      <c r="N32" s="10">
        <f>IF(OR(N27=1,N31=1),1,0)</f>
        <v/>
      </c>
      <c r="O32" s="10">
        <f>IF(OR(O27=1,O31=1),1,0)</f>
        <v/>
      </c>
      <c r="P32" s="10">
        <f>IF(OR(P27=1,P31=1),1,0)</f>
        <v/>
      </c>
      <c r="Q32" s="10">
        <f>IF(OR(Q27=1,Q31=1),1,0)</f>
        <v/>
      </c>
      <c r="R32" s="10">
        <f>IF(OR(R27=1,R31=1),1,0)</f>
        <v/>
      </c>
      <c r="S32" s="10">
        <f>IF(OR(S27=1,S31=1),1,0)</f>
        <v/>
      </c>
      <c r="T32" s="10">
        <f>IF(OR(T27=1,T31=1),1,0)</f>
        <v/>
      </c>
      <c r="U32" s="10">
        <f>IF(OR(U27=1,U31=1),1,0)</f>
        <v/>
      </c>
      <c r="V32" s="10">
        <f>IF(OR(V27=1,V31=1),1,0)</f>
        <v/>
      </c>
      <c r="W32" s="10">
        <f>IF(OR(W27=1,W31=1),1,0)</f>
        <v/>
      </c>
      <c r="X32" s="10">
        <f>IF(OR(X27=1,X31=1),1,0)</f>
        <v/>
      </c>
      <c r="Y32" s="10">
        <f>IF(OR(Y27=1,Y31=1),1,0)</f>
        <v/>
      </c>
      <c r="Z32" s="10">
        <f>IF(OR(Z27=1,Z31=1),1,0)</f>
        <v/>
      </c>
      <c r="AA32" s="10">
        <f>IF(OR(AA27=1,AA31=1),1,0)</f>
        <v/>
      </c>
      <c r="AB32" s="10">
        <f>IF(OR(AB27=1,AB31=1),1,0)</f>
        <v/>
      </c>
      <c r="AC32" s="10">
        <f>IF(OR(AC27=1,AC31=1),1,0)</f>
        <v/>
      </c>
      <c r="AD32" s="10">
        <f>IF(OR(AD27=1,AD31=1),1,0)</f>
        <v/>
      </c>
      <c r="AE32" s="10">
        <f>IF(OR(AE27=1,AE31=1),1,0)</f>
        <v/>
      </c>
      <c r="AF32" s="10">
        <f>IF(OR(AF27=1,AF31=1),1,0)</f>
        <v/>
      </c>
      <c r="AG32" s="10">
        <f>IF(OR(AG27=1,AG31=1),1,0)</f>
        <v/>
      </c>
      <c r="AH32" s="10">
        <f>IF(OR(AH27=1,AH31=1),1,0)</f>
        <v/>
      </c>
      <c r="AI32" s="10">
        <f>IF(OR(AI27=1,AI31=1),1,0)</f>
        <v/>
      </c>
      <c r="AJ32" s="10">
        <f>IF(OR(AJ27=1,AJ31=1),1,0)</f>
        <v/>
      </c>
      <c r="AK32" s="10">
        <f>IF(OR(AK27=1,AK31=1),1,0)</f>
        <v/>
      </c>
      <c r="AL32" s="10">
        <f>IF(OR(AL27=1,AL31=1),1,0)</f>
        <v/>
      </c>
      <c r="AM32" s="10">
        <f>IF(OR(AM27=1,AM31=1),1,0)</f>
        <v/>
      </c>
      <c r="AN32" s="10">
        <f>IF(OR(AN27=1,AN31=1),1,0)</f>
        <v/>
      </c>
      <c r="AO32" s="10">
        <f>IF(OR(AO27=1,AO31=1),1,0)</f>
        <v/>
      </c>
      <c r="AP32" s="10">
        <f>IF(OR(AP27=1,AP31=1),1,0)</f>
        <v/>
      </c>
      <c r="AQ32" s="10">
        <f>IF(OR(AQ27=1,AQ31=1),1,0)</f>
        <v/>
      </c>
      <c r="AR32" s="10">
        <f>IF(OR(AR27=1,AR31=1),1,0)</f>
        <v/>
      </c>
      <c r="AS32" s="10">
        <f>IF(OR(AS27=1,AS31=1),1,0)</f>
        <v/>
      </c>
      <c r="AT32" s="10">
        <f>IF(OR(AT27=1,AT31=1),1,0)</f>
        <v/>
      </c>
      <c r="AU32" s="10">
        <f>IF(OR(AU27=1,AU31=1),1,0)</f>
        <v/>
      </c>
      <c r="AV32" s="10">
        <f>IF(OR(AV27=1,AV31=1),1,0)</f>
        <v/>
      </c>
      <c r="AW32" s="10">
        <f>IF(OR(AW27=1,AW31=1),1,0)</f>
        <v/>
      </c>
      <c r="AX32" s="10">
        <f>IF(OR(AX27=1,AX31=1),1,0)</f>
        <v/>
      </c>
      <c r="AY32" s="10">
        <f>IF(OR(AY27=1,AY31=1),1,0)</f>
        <v/>
      </c>
      <c r="AZ32" s="10">
        <f>IF(OR(AZ27=1,AZ31=1),1,0)</f>
        <v/>
      </c>
      <c r="BA32" s="10">
        <f>IF(OR(BA27=1,BA31=1),1,0)</f>
        <v/>
      </c>
      <c r="BB32" s="10">
        <f>IF(OR(BB27=1,BB31=1),1,0)</f>
        <v/>
      </c>
      <c r="BC32" s="10">
        <f>IF(OR(BC27=1,BC31=1),1,0)</f>
        <v/>
      </c>
      <c r="BD32" s="10">
        <f>IF(OR(BD27=1,BD31=1),1,0)</f>
        <v/>
      </c>
      <c r="BE32" s="10">
        <f>IF(OR(BE27=1,BE31=1),1,0)</f>
        <v/>
      </c>
      <c r="BF32" s="10">
        <f>IF(OR(BF27=1,BF31=1),1,0)</f>
        <v/>
      </c>
      <c r="BG32" s="10">
        <f>IF(OR(BG27=1,BG31=1),1,0)</f>
        <v/>
      </c>
      <c r="BH32" s="10">
        <f>IF(OR(BH27=1,BH31=1),1,0)</f>
        <v/>
      </c>
      <c r="BI32" s="10">
        <f>IF(OR(BI27=1,BI31=1),1,0)</f>
        <v/>
      </c>
      <c r="BJ32" s="10">
        <f>IF(OR(BJ27=1,BJ31=1),1,0)</f>
        <v/>
      </c>
      <c r="BK32" s="10">
        <f>IF(OR(BK27=1,BK31=1),1,0)</f>
        <v/>
      </c>
      <c r="BL32" s="10">
        <f>IF(OR(BL27=1,BL31=1),1,0)</f>
        <v/>
      </c>
      <c r="BM32" s="10">
        <f>IF(OR(BM27=1,BM31=1),1,0)</f>
        <v/>
      </c>
      <c r="BN32" s="10">
        <f>IF(OR(BN27=1,BN31=1),1,0)</f>
        <v/>
      </c>
      <c r="BO32" s="10">
        <f>IF(OR(BO27=1,BO31=1),1,0)</f>
        <v/>
      </c>
      <c r="BP32" s="10">
        <f>IF(OR(BP27=1,BP31=1),1,0)</f>
        <v/>
      </c>
      <c r="BQ32" s="10">
        <f>IF(OR(BQ27=1,BQ31=1),1,0)</f>
        <v/>
      </c>
      <c r="BR32" s="10">
        <f>IF(OR(BR27=1,BR31=1),1,0)</f>
        <v/>
      </c>
      <c r="BS32" s="10">
        <f>IF(OR(BS27=1,BS31=1),1,0)</f>
        <v/>
      </c>
      <c r="BT32" s="10">
        <f>IF(OR(BT27=1,BT31=1),1,0)</f>
        <v/>
      </c>
      <c r="BU32" s="10">
        <f>IF(OR(BU27=1,BU31=1),1,0)</f>
        <v/>
      </c>
      <c r="BV32" s="10">
        <f>IF(OR(BV27=1,BV31=1),1,0)</f>
        <v/>
      </c>
      <c r="BW32" s="10">
        <f>IF(OR(BW27=1,BW31=1),1,0)</f>
        <v/>
      </c>
      <c r="BX32" s="10">
        <f>IF(OR(BX27=1,BX31=1),1,0)</f>
        <v/>
      </c>
      <c r="BY32" s="10">
        <f>IF(OR(BY27=1,BY31=1),1,0)</f>
        <v/>
      </c>
      <c r="BZ32" s="10">
        <f>IF(OR(BZ27=1,BZ31=1),1,0)</f>
        <v/>
      </c>
      <c r="CA32" s="10">
        <f>IF(OR(CA27=1,CA31=1),1,0)</f>
        <v/>
      </c>
      <c r="CB32" s="10">
        <f>IF(OR(CB27=1,CB31=1),1,0)</f>
        <v/>
      </c>
      <c r="CC32" s="10">
        <f>IF(OR(CC27=1,CC31=1),1,0)</f>
        <v/>
      </c>
      <c r="CD32" s="10">
        <f>IF(OR(CD27=1,CD31=1),1,0)</f>
        <v/>
      </c>
      <c r="CE32" s="10">
        <f>IF(OR(CE27=1,CE31=1),1,0)</f>
        <v/>
      </c>
      <c r="CF32" s="10">
        <f>IF(OR(CF27=1,CF31=1),1,0)</f>
        <v/>
      </c>
      <c r="CG32" s="10">
        <f>IF(OR(CG27=1,CG31=1),1,0)</f>
        <v/>
      </c>
      <c r="CH32" s="10">
        <f>IF(OR(CH27=1,CH31=1),1,0)</f>
        <v/>
      </c>
    </row>
    <row r="33">
      <c r="A33" s="3" t="inlineStr">
        <is>
          <t>Tier 4 distribution</t>
        </is>
      </c>
      <c r="B33" s="4" t="inlineStr">
        <is>
          <t>$</t>
        </is>
      </c>
      <c r="C33" s="12">
        <f>C4-C9-C20-C28</f>
        <v/>
      </c>
      <c r="D33" s="12">
        <f>D4-D9-D20-D28</f>
        <v/>
      </c>
      <c r="E33" s="12">
        <f>E4-E9-E20-E28</f>
        <v/>
      </c>
      <c r="F33" s="12">
        <f>F4-F9-F20-F28</f>
        <v/>
      </c>
      <c r="G33" s="12">
        <f>G4-G9-G20-G28</f>
        <v/>
      </c>
      <c r="H33" s="12">
        <f>H4-H9-H20-H28</f>
        <v/>
      </c>
      <c r="I33" s="12">
        <f>I4-I9-I20-I28</f>
        <v/>
      </c>
      <c r="J33" s="12">
        <f>J4-J9-J20-J28</f>
        <v/>
      </c>
      <c r="K33" s="12">
        <f>K4-K9-K20-K28</f>
        <v/>
      </c>
      <c r="L33" s="12">
        <f>L4-L9-L20-L28</f>
        <v/>
      </c>
      <c r="M33" s="12">
        <f>M4-M9-M20-M28</f>
        <v/>
      </c>
      <c r="N33" s="12">
        <f>N4-N9-N20-N28</f>
        <v/>
      </c>
      <c r="O33" s="12">
        <f>O4-O9-O20-O28</f>
        <v/>
      </c>
      <c r="P33" s="12">
        <f>P4-P9-P20-P28</f>
        <v/>
      </c>
      <c r="Q33" s="12">
        <f>Q4-Q9-Q20-Q28</f>
        <v/>
      </c>
      <c r="R33" s="12">
        <f>R4-R9-R20-R28</f>
        <v/>
      </c>
      <c r="S33" s="12">
        <f>S4-S9-S20-S28</f>
        <v/>
      </c>
      <c r="T33" s="12">
        <f>T4-T9-T20-T28</f>
        <v/>
      </c>
      <c r="U33" s="12">
        <f>U4-U9-U20-U28</f>
        <v/>
      </c>
      <c r="V33" s="12">
        <f>V4-V9-V20-V28</f>
        <v/>
      </c>
      <c r="W33" s="12">
        <f>W4-W9-W20-W28</f>
        <v/>
      </c>
      <c r="X33" s="12">
        <f>X4-X9-X20-X28</f>
        <v/>
      </c>
      <c r="Y33" s="12">
        <f>Y4-Y9-Y20-Y28</f>
        <v/>
      </c>
      <c r="Z33" s="12">
        <f>Z4-Z9-Z20-Z28</f>
        <v/>
      </c>
      <c r="AA33" s="12">
        <f>AA4-AA9-AA20-AA28</f>
        <v/>
      </c>
      <c r="AB33" s="12">
        <f>AB4-AB9-AB20-AB28</f>
        <v/>
      </c>
      <c r="AC33" s="12">
        <f>AC4-AC9-AC20-AC28</f>
        <v/>
      </c>
      <c r="AD33" s="12">
        <f>AD4-AD9-AD20-AD28</f>
        <v/>
      </c>
      <c r="AE33" s="12">
        <f>AE4-AE9-AE20-AE28</f>
        <v/>
      </c>
      <c r="AF33" s="12">
        <f>AF4-AF9-AF20-AF28</f>
        <v/>
      </c>
      <c r="AG33" s="12">
        <f>AG4-AG9-AG20-AG28</f>
        <v/>
      </c>
      <c r="AH33" s="12">
        <f>AH4-AH9-AH20-AH28</f>
        <v/>
      </c>
      <c r="AI33" s="12">
        <f>AI4-AI9-AI20-AI28</f>
        <v/>
      </c>
      <c r="AJ33" s="12">
        <f>AJ4-AJ9-AJ20-AJ28</f>
        <v/>
      </c>
      <c r="AK33" s="12">
        <f>AK4-AK9-AK20-AK28</f>
        <v/>
      </c>
      <c r="AL33" s="12">
        <f>AL4-AL9-AL20-AL28</f>
        <v/>
      </c>
      <c r="AM33" s="12">
        <f>AM4-AM9-AM20-AM28</f>
        <v/>
      </c>
      <c r="AN33" s="12">
        <f>AN4-AN9-AN20-AN28</f>
        <v/>
      </c>
      <c r="AO33" s="12">
        <f>AO4-AO9-AO20-AO28</f>
        <v/>
      </c>
      <c r="AP33" s="12">
        <f>AP4-AP9-AP20-AP28</f>
        <v/>
      </c>
      <c r="AQ33" s="12">
        <f>AQ4-AQ9-AQ20-AQ28</f>
        <v/>
      </c>
      <c r="AR33" s="12">
        <f>AR4-AR9-AR20-AR28</f>
        <v/>
      </c>
      <c r="AS33" s="12">
        <f>AS4-AS9-AS20-AS28</f>
        <v/>
      </c>
      <c r="AT33" s="12">
        <f>AT4-AT9-AT20-AT28</f>
        <v/>
      </c>
      <c r="AU33" s="12">
        <f>AU4-AU9-AU20-AU28</f>
        <v/>
      </c>
      <c r="AV33" s="12">
        <f>AV4-AV9-AV20-AV28</f>
        <v/>
      </c>
      <c r="AW33" s="12">
        <f>AW4-AW9-AW20-AW28</f>
        <v/>
      </c>
      <c r="AX33" s="12">
        <f>AX4-AX9-AX20-AX28</f>
        <v/>
      </c>
      <c r="AY33" s="12">
        <f>AY4-AY9-AY20-AY28</f>
        <v/>
      </c>
      <c r="AZ33" s="12">
        <f>AZ4-AZ9-AZ20-AZ28</f>
        <v/>
      </c>
      <c r="BA33" s="12">
        <f>BA4-BA9-BA20-BA28</f>
        <v/>
      </c>
      <c r="BB33" s="12">
        <f>BB4-BB9-BB20-BB28</f>
        <v/>
      </c>
      <c r="BC33" s="12">
        <f>BC4-BC9-BC20-BC28</f>
        <v/>
      </c>
      <c r="BD33" s="12">
        <f>BD4-BD9-BD20-BD28</f>
        <v/>
      </c>
      <c r="BE33" s="12">
        <f>BE4-BE9-BE20-BE28</f>
        <v/>
      </c>
      <c r="BF33" s="12">
        <f>BF4-BF9-BF20-BF28</f>
        <v/>
      </c>
      <c r="BG33" s="12">
        <f>BG4-BG9-BG20-BG28</f>
        <v/>
      </c>
      <c r="BH33" s="12">
        <f>BH4-BH9-BH20-BH28</f>
        <v/>
      </c>
      <c r="BI33" s="12">
        <f>BI4-BI9-BI20-BI28</f>
        <v/>
      </c>
      <c r="BJ33" s="12">
        <f>BJ4-BJ9-BJ20-BJ28</f>
        <v/>
      </c>
      <c r="BK33" s="12">
        <f>BK4-BK9-BK20-BK28</f>
        <v/>
      </c>
      <c r="BL33" s="12">
        <f>BL4-BL9-BL20-BL28</f>
        <v/>
      </c>
      <c r="BM33" s="12">
        <f>BM4-BM9-BM20-BM28</f>
        <v/>
      </c>
      <c r="BN33" s="12">
        <f>BN4-BN9-BN20-BN28</f>
        <v/>
      </c>
      <c r="BO33" s="12">
        <f>BO4-BO9-BO20-BO28</f>
        <v/>
      </c>
      <c r="BP33" s="12">
        <f>BP4-BP9-BP20-BP28</f>
        <v/>
      </c>
      <c r="BQ33" s="12">
        <f>BQ4-BQ9-BQ20-BQ28</f>
        <v/>
      </c>
      <c r="BR33" s="12">
        <f>BR4-BR9-BR20-BR28</f>
        <v/>
      </c>
      <c r="BS33" s="12">
        <f>BS4-BS9-BS20-BS28</f>
        <v/>
      </c>
      <c r="BT33" s="12">
        <f>BT4-BT9-BT20-BT28</f>
        <v/>
      </c>
      <c r="BU33" s="12">
        <f>BU4-BU9-BU20-BU28</f>
        <v/>
      </c>
      <c r="BV33" s="12">
        <f>BV4-BV9-BV20-BV28</f>
        <v/>
      </c>
      <c r="BW33" s="12">
        <f>BW4-BW9-BW20-BW28</f>
        <v/>
      </c>
      <c r="BX33" s="12">
        <f>BX4-BX9-BX20-BX28</f>
        <v/>
      </c>
      <c r="BY33" s="12">
        <f>BY4-BY9-BY20-BY28</f>
        <v/>
      </c>
      <c r="BZ33" s="12">
        <f>BZ4-BZ9-BZ20-BZ28</f>
        <v/>
      </c>
      <c r="CA33" s="12">
        <f>CA4-CA9-CA20-CA28</f>
        <v/>
      </c>
      <c r="CB33" s="12">
        <f>CB4-CB9-CB20-CB28</f>
        <v/>
      </c>
      <c r="CC33" s="12">
        <f>CC4-CC9-CC20-CC28</f>
        <v/>
      </c>
      <c r="CD33" s="12">
        <f>CD4-CD9-CD20-CD28</f>
        <v/>
      </c>
      <c r="CE33" s="12">
        <f>CE4-CE9-CE20-CE28</f>
        <v/>
      </c>
      <c r="CF33" s="12">
        <f>CF4-CF9-CF20-CF28</f>
        <v/>
      </c>
      <c r="CG33" s="12">
        <f>CG4-CG9-CG20-CG28</f>
        <v/>
      </c>
      <c r="CH33" s="12">
        <f>CH4-CH9-CH20-CH28</f>
        <v/>
      </c>
    </row>
    <row r="34">
      <c r="A34" s="3" t="inlineStr">
        <is>
          <t>Tier 4 to LP</t>
        </is>
      </c>
      <c r="B34" s="4" t="inlineStr">
        <is>
          <t>$</t>
        </is>
      </c>
      <c r="C34" s="12">
        <f>C33*T4_LP_SPLIT</f>
        <v/>
      </c>
      <c r="D34" s="12">
        <f>D33*T4_LP_SPLIT</f>
        <v/>
      </c>
      <c r="E34" s="12">
        <f>E33*T4_LP_SPLIT</f>
        <v/>
      </c>
      <c r="F34" s="12">
        <f>F33*T4_LP_SPLIT</f>
        <v/>
      </c>
      <c r="G34" s="12">
        <f>G33*T4_LP_SPLIT</f>
        <v/>
      </c>
      <c r="H34" s="12">
        <f>H33*T4_LP_SPLIT</f>
        <v/>
      </c>
      <c r="I34" s="12">
        <f>I33*T4_LP_SPLIT</f>
        <v/>
      </c>
      <c r="J34" s="12">
        <f>J33*T4_LP_SPLIT</f>
        <v/>
      </c>
      <c r="K34" s="12">
        <f>K33*T4_LP_SPLIT</f>
        <v/>
      </c>
      <c r="L34" s="12">
        <f>L33*T4_LP_SPLIT</f>
        <v/>
      </c>
      <c r="M34" s="12">
        <f>M33*T4_LP_SPLIT</f>
        <v/>
      </c>
      <c r="N34" s="12">
        <f>N33*T4_LP_SPLIT</f>
        <v/>
      </c>
      <c r="O34" s="12">
        <f>O33*T4_LP_SPLIT</f>
        <v/>
      </c>
      <c r="P34" s="12">
        <f>P33*T4_LP_SPLIT</f>
        <v/>
      </c>
      <c r="Q34" s="12">
        <f>Q33*T4_LP_SPLIT</f>
        <v/>
      </c>
      <c r="R34" s="12">
        <f>R33*T4_LP_SPLIT</f>
        <v/>
      </c>
      <c r="S34" s="12">
        <f>S33*T4_LP_SPLIT</f>
        <v/>
      </c>
      <c r="T34" s="12">
        <f>T33*T4_LP_SPLIT</f>
        <v/>
      </c>
      <c r="U34" s="12">
        <f>U33*T4_LP_SPLIT</f>
        <v/>
      </c>
      <c r="V34" s="12">
        <f>V33*T4_LP_SPLIT</f>
        <v/>
      </c>
      <c r="W34" s="12">
        <f>W33*T4_LP_SPLIT</f>
        <v/>
      </c>
      <c r="X34" s="12">
        <f>X33*T4_LP_SPLIT</f>
        <v/>
      </c>
      <c r="Y34" s="12">
        <f>Y33*T4_LP_SPLIT</f>
        <v/>
      </c>
      <c r="Z34" s="12">
        <f>Z33*T4_LP_SPLIT</f>
        <v/>
      </c>
      <c r="AA34" s="12">
        <f>AA33*T4_LP_SPLIT</f>
        <v/>
      </c>
      <c r="AB34" s="12">
        <f>AB33*T4_LP_SPLIT</f>
        <v/>
      </c>
      <c r="AC34" s="12">
        <f>AC33*T4_LP_SPLIT</f>
        <v/>
      </c>
      <c r="AD34" s="12">
        <f>AD33*T4_LP_SPLIT</f>
        <v/>
      </c>
      <c r="AE34" s="12">
        <f>AE33*T4_LP_SPLIT</f>
        <v/>
      </c>
      <c r="AF34" s="12">
        <f>AF33*T4_LP_SPLIT</f>
        <v/>
      </c>
      <c r="AG34" s="12">
        <f>AG33*T4_LP_SPLIT</f>
        <v/>
      </c>
      <c r="AH34" s="12">
        <f>AH33*T4_LP_SPLIT</f>
        <v/>
      </c>
      <c r="AI34" s="12">
        <f>AI33*T4_LP_SPLIT</f>
        <v/>
      </c>
      <c r="AJ34" s="12">
        <f>AJ33*T4_LP_SPLIT</f>
        <v/>
      </c>
      <c r="AK34" s="12">
        <f>AK33*T4_LP_SPLIT</f>
        <v/>
      </c>
      <c r="AL34" s="12">
        <f>AL33*T4_LP_SPLIT</f>
        <v/>
      </c>
      <c r="AM34" s="12">
        <f>AM33*T4_LP_SPLIT</f>
        <v/>
      </c>
      <c r="AN34" s="12">
        <f>AN33*T4_LP_SPLIT</f>
        <v/>
      </c>
      <c r="AO34" s="12">
        <f>AO33*T4_LP_SPLIT</f>
        <v/>
      </c>
      <c r="AP34" s="12">
        <f>AP33*T4_LP_SPLIT</f>
        <v/>
      </c>
      <c r="AQ34" s="12">
        <f>AQ33*T4_LP_SPLIT</f>
        <v/>
      </c>
      <c r="AR34" s="12">
        <f>AR33*T4_LP_SPLIT</f>
        <v/>
      </c>
      <c r="AS34" s="12">
        <f>AS33*T4_LP_SPLIT</f>
        <v/>
      </c>
      <c r="AT34" s="12">
        <f>AT33*T4_LP_SPLIT</f>
        <v/>
      </c>
      <c r="AU34" s="12">
        <f>AU33*T4_LP_SPLIT</f>
        <v/>
      </c>
      <c r="AV34" s="12">
        <f>AV33*T4_LP_SPLIT</f>
        <v/>
      </c>
      <c r="AW34" s="12">
        <f>AW33*T4_LP_SPLIT</f>
        <v/>
      </c>
      <c r="AX34" s="12">
        <f>AX33*T4_LP_SPLIT</f>
        <v/>
      </c>
      <c r="AY34" s="12">
        <f>AY33*T4_LP_SPLIT</f>
        <v/>
      </c>
      <c r="AZ34" s="12">
        <f>AZ33*T4_LP_SPLIT</f>
        <v/>
      </c>
      <c r="BA34" s="12">
        <f>BA33*T4_LP_SPLIT</f>
        <v/>
      </c>
      <c r="BB34" s="12">
        <f>BB33*T4_LP_SPLIT</f>
        <v/>
      </c>
      <c r="BC34" s="12">
        <f>BC33*T4_LP_SPLIT</f>
        <v/>
      </c>
      <c r="BD34" s="12">
        <f>BD33*T4_LP_SPLIT</f>
        <v/>
      </c>
      <c r="BE34" s="12">
        <f>BE33*T4_LP_SPLIT</f>
        <v/>
      </c>
      <c r="BF34" s="12">
        <f>BF33*T4_LP_SPLIT</f>
        <v/>
      </c>
      <c r="BG34" s="12">
        <f>BG33*T4_LP_SPLIT</f>
        <v/>
      </c>
      <c r="BH34" s="12">
        <f>BH33*T4_LP_SPLIT</f>
        <v/>
      </c>
      <c r="BI34" s="12">
        <f>BI33*T4_LP_SPLIT</f>
        <v/>
      </c>
      <c r="BJ34" s="12">
        <f>BJ33*T4_LP_SPLIT</f>
        <v/>
      </c>
      <c r="BK34" s="12">
        <f>BK33*T4_LP_SPLIT</f>
        <v/>
      </c>
      <c r="BL34" s="12">
        <f>BL33*T4_LP_SPLIT</f>
        <v/>
      </c>
      <c r="BM34" s="12">
        <f>BM33*T4_LP_SPLIT</f>
        <v/>
      </c>
      <c r="BN34" s="12">
        <f>BN33*T4_LP_SPLIT</f>
        <v/>
      </c>
      <c r="BO34" s="12">
        <f>BO33*T4_LP_SPLIT</f>
        <v/>
      </c>
      <c r="BP34" s="12">
        <f>BP33*T4_LP_SPLIT</f>
        <v/>
      </c>
      <c r="BQ34" s="12">
        <f>BQ33*T4_LP_SPLIT</f>
        <v/>
      </c>
      <c r="BR34" s="12">
        <f>BR33*T4_LP_SPLIT</f>
        <v/>
      </c>
      <c r="BS34" s="12">
        <f>BS33*T4_LP_SPLIT</f>
        <v/>
      </c>
      <c r="BT34" s="12">
        <f>BT33*T4_LP_SPLIT</f>
        <v/>
      </c>
      <c r="BU34" s="12">
        <f>BU33*T4_LP_SPLIT</f>
        <v/>
      </c>
      <c r="BV34" s="12">
        <f>BV33*T4_LP_SPLIT</f>
        <v/>
      </c>
      <c r="BW34" s="12">
        <f>BW33*T4_LP_SPLIT</f>
        <v/>
      </c>
      <c r="BX34" s="12">
        <f>BX33*T4_LP_SPLIT</f>
        <v/>
      </c>
      <c r="BY34" s="12">
        <f>BY33*T4_LP_SPLIT</f>
        <v/>
      </c>
      <c r="BZ34" s="12">
        <f>BZ33*T4_LP_SPLIT</f>
        <v/>
      </c>
      <c r="CA34" s="12">
        <f>CA33*T4_LP_SPLIT</f>
        <v/>
      </c>
      <c r="CB34" s="12">
        <f>CB33*T4_LP_SPLIT</f>
        <v/>
      </c>
      <c r="CC34" s="12">
        <f>CC33*T4_LP_SPLIT</f>
        <v/>
      </c>
      <c r="CD34" s="12">
        <f>CD33*T4_LP_SPLIT</f>
        <v/>
      </c>
      <c r="CE34" s="12">
        <f>CE33*T4_LP_SPLIT</f>
        <v/>
      </c>
      <c r="CF34" s="12">
        <f>CF33*T4_LP_SPLIT</f>
        <v/>
      </c>
      <c r="CG34" s="12">
        <f>CG33*T4_LP_SPLIT</f>
        <v/>
      </c>
      <c r="CH34" s="12">
        <f>CH33*T4_LP_SPLIT</f>
        <v/>
      </c>
    </row>
    <row r="35">
      <c r="A35" s="3" t="inlineStr">
        <is>
          <t>Tier 4 to GP</t>
        </is>
      </c>
      <c r="B35" s="4" t="inlineStr">
        <is>
          <t>$</t>
        </is>
      </c>
      <c r="C35" s="12">
        <f>C33*(1-T4_LP_SPLIT)</f>
        <v/>
      </c>
      <c r="D35" s="12">
        <f>D33*(1-T4_LP_SPLIT)</f>
        <v/>
      </c>
      <c r="E35" s="12">
        <f>E33*(1-T4_LP_SPLIT)</f>
        <v/>
      </c>
      <c r="F35" s="12">
        <f>F33*(1-T4_LP_SPLIT)</f>
        <v/>
      </c>
      <c r="G35" s="12">
        <f>G33*(1-T4_LP_SPLIT)</f>
        <v/>
      </c>
      <c r="H35" s="12">
        <f>H33*(1-T4_LP_SPLIT)</f>
        <v/>
      </c>
      <c r="I35" s="12">
        <f>I33*(1-T4_LP_SPLIT)</f>
        <v/>
      </c>
      <c r="J35" s="12">
        <f>J33*(1-T4_LP_SPLIT)</f>
        <v/>
      </c>
      <c r="K35" s="12">
        <f>K33*(1-T4_LP_SPLIT)</f>
        <v/>
      </c>
      <c r="L35" s="12">
        <f>L33*(1-T4_LP_SPLIT)</f>
        <v/>
      </c>
      <c r="M35" s="12">
        <f>M33*(1-T4_LP_SPLIT)</f>
        <v/>
      </c>
      <c r="N35" s="12">
        <f>N33*(1-T4_LP_SPLIT)</f>
        <v/>
      </c>
      <c r="O35" s="12">
        <f>O33*(1-T4_LP_SPLIT)</f>
        <v/>
      </c>
      <c r="P35" s="12">
        <f>P33*(1-T4_LP_SPLIT)</f>
        <v/>
      </c>
      <c r="Q35" s="12">
        <f>Q33*(1-T4_LP_SPLIT)</f>
        <v/>
      </c>
      <c r="R35" s="12">
        <f>R33*(1-T4_LP_SPLIT)</f>
        <v/>
      </c>
      <c r="S35" s="12">
        <f>S33*(1-T4_LP_SPLIT)</f>
        <v/>
      </c>
      <c r="T35" s="12">
        <f>T33*(1-T4_LP_SPLIT)</f>
        <v/>
      </c>
      <c r="U35" s="12">
        <f>U33*(1-T4_LP_SPLIT)</f>
        <v/>
      </c>
      <c r="V35" s="12">
        <f>V33*(1-T4_LP_SPLIT)</f>
        <v/>
      </c>
      <c r="W35" s="12">
        <f>W33*(1-T4_LP_SPLIT)</f>
        <v/>
      </c>
      <c r="X35" s="12">
        <f>X33*(1-T4_LP_SPLIT)</f>
        <v/>
      </c>
      <c r="Y35" s="12">
        <f>Y33*(1-T4_LP_SPLIT)</f>
        <v/>
      </c>
      <c r="Z35" s="12">
        <f>Z33*(1-T4_LP_SPLIT)</f>
        <v/>
      </c>
      <c r="AA35" s="12">
        <f>AA33*(1-T4_LP_SPLIT)</f>
        <v/>
      </c>
      <c r="AB35" s="12">
        <f>AB33*(1-T4_LP_SPLIT)</f>
        <v/>
      </c>
      <c r="AC35" s="12">
        <f>AC33*(1-T4_LP_SPLIT)</f>
        <v/>
      </c>
      <c r="AD35" s="12">
        <f>AD33*(1-T4_LP_SPLIT)</f>
        <v/>
      </c>
      <c r="AE35" s="12">
        <f>AE33*(1-T4_LP_SPLIT)</f>
        <v/>
      </c>
      <c r="AF35" s="12">
        <f>AF33*(1-T4_LP_SPLIT)</f>
        <v/>
      </c>
      <c r="AG35" s="12">
        <f>AG33*(1-T4_LP_SPLIT)</f>
        <v/>
      </c>
      <c r="AH35" s="12">
        <f>AH33*(1-T4_LP_SPLIT)</f>
        <v/>
      </c>
      <c r="AI35" s="12">
        <f>AI33*(1-T4_LP_SPLIT)</f>
        <v/>
      </c>
      <c r="AJ35" s="12">
        <f>AJ33*(1-T4_LP_SPLIT)</f>
        <v/>
      </c>
      <c r="AK35" s="12">
        <f>AK33*(1-T4_LP_SPLIT)</f>
        <v/>
      </c>
      <c r="AL35" s="12">
        <f>AL33*(1-T4_LP_SPLIT)</f>
        <v/>
      </c>
      <c r="AM35" s="12">
        <f>AM33*(1-T4_LP_SPLIT)</f>
        <v/>
      </c>
      <c r="AN35" s="12">
        <f>AN33*(1-T4_LP_SPLIT)</f>
        <v/>
      </c>
      <c r="AO35" s="12">
        <f>AO33*(1-T4_LP_SPLIT)</f>
        <v/>
      </c>
      <c r="AP35" s="12">
        <f>AP33*(1-T4_LP_SPLIT)</f>
        <v/>
      </c>
      <c r="AQ35" s="12">
        <f>AQ33*(1-T4_LP_SPLIT)</f>
        <v/>
      </c>
      <c r="AR35" s="12">
        <f>AR33*(1-T4_LP_SPLIT)</f>
        <v/>
      </c>
      <c r="AS35" s="12">
        <f>AS33*(1-T4_LP_SPLIT)</f>
        <v/>
      </c>
      <c r="AT35" s="12">
        <f>AT33*(1-T4_LP_SPLIT)</f>
        <v/>
      </c>
      <c r="AU35" s="12">
        <f>AU33*(1-T4_LP_SPLIT)</f>
        <v/>
      </c>
      <c r="AV35" s="12">
        <f>AV33*(1-T4_LP_SPLIT)</f>
        <v/>
      </c>
      <c r="AW35" s="12">
        <f>AW33*(1-T4_LP_SPLIT)</f>
        <v/>
      </c>
      <c r="AX35" s="12">
        <f>AX33*(1-T4_LP_SPLIT)</f>
        <v/>
      </c>
      <c r="AY35" s="12">
        <f>AY33*(1-T4_LP_SPLIT)</f>
        <v/>
      </c>
      <c r="AZ35" s="12">
        <f>AZ33*(1-T4_LP_SPLIT)</f>
        <v/>
      </c>
      <c r="BA35" s="12">
        <f>BA33*(1-T4_LP_SPLIT)</f>
        <v/>
      </c>
      <c r="BB35" s="12">
        <f>BB33*(1-T4_LP_SPLIT)</f>
        <v/>
      </c>
      <c r="BC35" s="12">
        <f>BC33*(1-T4_LP_SPLIT)</f>
        <v/>
      </c>
      <c r="BD35" s="12">
        <f>BD33*(1-T4_LP_SPLIT)</f>
        <v/>
      </c>
      <c r="BE35" s="12">
        <f>BE33*(1-T4_LP_SPLIT)</f>
        <v/>
      </c>
      <c r="BF35" s="12">
        <f>BF33*(1-T4_LP_SPLIT)</f>
        <v/>
      </c>
      <c r="BG35" s="12">
        <f>BG33*(1-T4_LP_SPLIT)</f>
        <v/>
      </c>
      <c r="BH35" s="12">
        <f>BH33*(1-T4_LP_SPLIT)</f>
        <v/>
      </c>
      <c r="BI35" s="12">
        <f>BI33*(1-T4_LP_SPLIT)</f>
        <v/>
      </c>
      <c r="BJ35" s="12">
        <f>BJ33*(1-T4_LP_SPLIT)</f>
        <v/>
      </c>
      <c r="BK35" s="12">
        <f>BK33*(1-T4_LP_SPLIT)</f>
        <v/>
      </c>
      <c r="BL35" s="12">
        <f>BL33*(1-T4_LP_SPLIT)</f>
        <v/>
      </c>
      <c r="BM35" s="12">
        <f>BM33*(1-T4_LP_SPLIT)</f>
        <v/>
      </c>
      <c r="BN35" s="12">
        <f>BN33*(1-T4_LP_SPLIT)</f>
        <v/>
      </c>
      <c r="BO35" s="12">
        <f>BO33*(1-T4_LP_SPLIT)</f>
        <v/>
      </c>
      <c r="BP35" s="12">
        <f>BP33*(1-T4_LP_SPLIT)</f>
        <v/>
      </c>
      <c r="BQ35" s="12">
        <f>BQ33*(1-T4_LP_SPLIT)</f>
        <v/>
      </c>
      <c r="BR35" s="12">
        <f>BR33*(1-T4_LP_SPLIT)</f>
        <v/>
      </c>
      <c r="BS35" s="12">
        <f>BS33*(1-T4_LP_SPLIT)</f>
        <v/>
      </c>
      <c r="BT35" s="12">
        <f>BT33*(1-T4_LP_SPLIT)</f>
        <v/>
      </c>
      <c r="BU35" s="12">
        <f>BU33*(1-T4_LP_SPLIT)</f>
        <v/>
      </c>
      <c r="BV35" s="12">
        <f>BV33*(1-T4_LP_SPLIT)</f>
        <v/>
      </c>
      <c r="BW35" s="12">
        <f>BW33*(1-T4_LP_SPLIT)</f>
        <v/>
      </c>
      <c r="BX35" s="12">
        <f>BX33*(1-T4_LP_SPLIT)</f>
        <v/>
      </c>
      <c r="BY35" s="12">
        <f>BY33*(1-T4_LP_SPLIT)</f>
        <v/>
      </c>
      <c r="BZ35" s="12">
        <f>BZ33*(1-T4_LP_SPLIT)</f>
        <v/>
      </c>
      <c r="CA35" s="12">
        <f>CA33*(1-T4_LP_SPLIT)</f>
        <v/>
      </c>
      <c r="CB35" s="12">
        <f>CB33*(1-T4_LP_SPLIT)</f>
        <v/>
      </c>
      <c r="CC35" s="12">
        <f>CC33*(1-T4_LP_SPLIT)</f>
        <v/>
      </c>
      <c r="CD35" s="12">
        <f>CD33*(1-T4_LP_SPLIT)</f>
        <v/>
      </c>
      <c r="CE35" s="12">
        <f>CE33*(1-T4_LP_SPLIT)</f>
        <v/>
      </c>
      <c r="CF35" s="12">
        <f>CF33*(1-T4_LP_SPLIT)</f>
        <v/>
      </c>
      <c r="CG35" s="12">
        <f>CG33*(1-T4_LP_SPLIT)</f>
        <v/>
      </c>
      <c r="CH35" s="12">
        <f>CH33*(1-T4_LP_SPLIT)</f>
        <v/>
      </c>
    </row>
    <row r="36">
      <c r="A36" s="3" t="inlineStr">
        <is>
          <t>Tier sum</t>
        </is>
      </c>
      <c r="B36" s="4" t="inlineStr">
        <is>
          <t>$</t>
        </is>
      </c>
      <c r="C36" s="12">
        <f>C9+C20+C28+C33</f>
        <v/>
      </c>
      <c r="D36" s="12">
        <f>D9+D20+D28+D33</f>
        <v/>
      </c>
      <c r="E36" s="12">
        <f>E9+E20+E28+E33</f>
        <v/>
      </c>
      <c r="F36" s="12">
        <f>F9+F20+F28+F33</f>
        <v/>
      </c>
      <c r="G36" s="12">
        <f>G9+G20+G28+G33</f>
        <v/>
      </c>
      <c r="H36" s="12">
        <f>H9+H20+H28+H33</f>
        <v/>
      </c>
      <c r="I36" s="12">
        <f>I9+I20+I28+I33</f>
        <v/>
      </c>
      <c r="J36" s="12">
        <f>J9+J20+J28+J33</f>
        <v/>
      </c>
      <c r="K36" s="12">
        <f>K9+K20+K28+K33</f>
        <v/>
      </c>
      <c r="L36" s="12">
        <f>L9+L20+L28+L33</f>
        <v/>
      </c>
      <c r="M36" s="12">
        <f>M9+M20+M28+M33</f>
        <v/>
      </c>
      <c r="N36" s="12">
        <f>N9+N20+N28+N33</f>
        <v/>
      </c>
      <c r="O36" s="12">
        <f>O9+O20+O28+O33</f>
        <v/>
      </c>
      <c r="P36" s="12">
        <f>P9+P20+P28+P33</f>
        <v/>
      </c>
      <c r="Q36" s="12">
        <f>Q9+Q20+Q28+Q33</f>
        <v/>
      </c>
      <c r="R36" s="12">
        <f>R9+R20+R28+R33</f>
        <v/>
      </c>
      <c r="S36" s="12">
        <f>S9+S20+S28+S33</f>
        <v/>
      </c>
      <c r="T36" s="12">
        <f>T9+T20+T28+T33</f>
        <v/>
      </c>
      <c r="U36" s="12">
        <f>U9+U20+U28+U33</f>
        <v/>
      </c>
      <c r="V36" s="12">
        <f>V9+V20+V28+V33</f>
        <v/>
      </c>
      <c r="W36" s="12">
        <f>W9+W20+W28+W33</f>
        <v/>
      </c>
      <c r="X36" s="12">
        <f>X9+X20+X28+X33</f>
        <v/>
      </c>
      <c r="Y36" s="12">
        <f>Y9+Y20+Y28+Y33</f>
        <v/>
      </c>
      <c r="Z36" s="12">
        <f>Z9+Z20+Z28+Z33</f>
        <v/>
      </c>
      <c r="AA36" s="12">
        <f>AA9+AA20+AA28+AA33</f>
        <v/>
      </c>
      <c r="AB36" s="12">
        <f>AB9+AB20+AB28+AB33</f>
        <v/>
      </c>
      <c r="AC36" s="12">
        <f>AC9+AC20+AC28+AC33</f>
        <v/>
      </c>
      <c r="AD36" s="12">
        <f>AD9+AD20+AD28+AD33</f>
        <v/>
      </c>
      <c r="AE36" s="12">
        <f>AE9+AE20+AE28+AE33</f>
        <v/>
      </c>
      <c r="AF36" s="12">
        <f>AF9+AF20+AF28+AF33</f>
        <v/>
      </c>
      <c r="AG36" s="12">
        <f>AG9+AG20+AG28+AG33</f>
        <v/>
      </c>
      <c r="AH36" s="12">
        <f>AH9+AH20+AH28+AH33</f>
        <v/>
      </c>
      <c r="AI36" s="12">
        <f>AI9+AI20+AI28+AI33</f>
        <v/>
      </c>
      <c r="AJ36" s="12">
        <f>AJ9+AJ20+AJ28+AJ33</f>
        <v/>
      </c>
      <c r="AK36" s="12">
        <f>AK9+AK20+AK28+AK33</f>
        <v/>
      </c>
      <c r="AL36" s="12">
        <f>AL9+AL20+AL28+AL33</f>
        <v/>
      </c>
      <c r="AM36" s="12">
        <f>AM9+AM20+AM28+AM33</f>
        <v/>
      </c>
      <c r="AN36" s="12">
        <f>AN9+AN20+AN28+AN33</f>
        <v/>
      </c>
      <c r="AO36" s="12">
        <f>AO9+AO20+AO28+AO33</f>
        <v/>
      </c>
      <c r="AP36" s="12">
        <f>AP9+AP20+AP28+AP33</f>
        <v/>
      </c>
      <c r="AQ36" s="12">
        <f>AQ9+AQ20+AQ28+AQ33</f>
        <v/>
      </c>
      <c r="AR36" s="12">
        <f>AR9+AR20+AR28+AR33</f>
        <v/>
      </c>
      <c r="AS36" s="12">
        <f>AS9+AS20+AS28+AS33</f>
        <v/>
      </c>
      <c r="AT36" s="12">
        <f>AT9+AT20+AT28+AT33</f>
        <v/>
      </c>
      <c r="AU36" s="12">
        <f>AU9+AU20+AU28+AU33</f>
        <v/>
      </c>
      <c r="AV36" s="12">
        <f>AV9+AV20+AV28+AV33</f>
        <v/>
      </c>
      <c r="AW36" s="12">
        <f>AW9+AW20+AW28+AW33</f>
        <v/>
      </c>
      <c r="AX36" s="12">
        <f>AX9+AX20+AX28+AX33</f>
        <v/>
      </c>
      <c r="AY36" s="12">
        <f>AY9+AY20+AY28+AY33</f>
        <v/>
      </c>
      <c r="AZ36" s="12">
        <f>AZ9+AZ20+AZ28+AZ33</f>
        <v/>
      </c>
      <c r="BA36" s="12">
        <f>BA9+BA20+BA28+BA33</f>
        <v/>
      </c>
      <c r="BB36" s="12">
        <f>BB9+BB20+BB28+BB33</f>
        <v/>
      </c>
      <c r="BC36" s="12">
        <f>BC9+BC20+BC28+BC33</f>
        <v/>
      </c>
      <c r="BD36" s="12">
        <f>BD9+BD20+BD28+BD33</f>
        <v/>
      </c>
      <c r="BE36" s="12">
        <f>BE9+BE20+BE28+BE33</f>
        <v/>
      </c>
      <c r="BF36" s="12">
        <f>BF9+BF20+BF28+BF33</f>
        <v/>
      </c>
      <c r="BG36" s="12">
        <f>BG9+BG20+BG28+BG33</f>
        <v/>
      </c>
      <c r="BH36" s="12">
        <f>BH9+BH20+BH28+BH33</f>
        <v/>
      </c>
      <c r="BI36" s="12">
        <f>BI9+BI20+BI28+BI33</f>
        <v/>
      </c>
      <c r="BJ36" s="12">
        <f>BJ9+BJ20+BJ28+BJ33</f>
        <v/>
      </c>
      <c r="BK36" s="12">
        <f>BK9+BK20+BK28+BK33</f>
        <v/>
      </c>
      <c r="BL36" s="12">
        <f>BL9+BL20+BL28+BL33</f>
        <v/>
      </c>
      <c r="BM36" s="12">
        <f>BM9+BM20+BM28+BM33</f>
        <v/>
      </c>
      <c r="BN36" s="12">
        <f>BN9+BN20+BN28+BN33</f>
        <v/>
      </c>
      <c r="BO36" s="12">
        <f>BO9+BO20+BO28+BO33</f>
        <v/>
      </c>
      <c r="BP36" s="12">
        <f>BP9+BP20+BP28+BP33</f>
        <v/>
      </c>
      <c r="BQ36" s="12">
        <f>BQ9+BQ20+BQ28+BQ33</f>
        <v/>
      </c>
      <c r="BR36" s="12">
        <f>BR9+BR20+BR28+BR33</f>
        <v/>
      </c>
      <c r="BS36" s="12">
        <f>BS9+BS20+BS28+BS33</f>
        <v/>
      </c>
      <c r="BT36" s="12">
        <f>BT9+BT20+BT28+BT33</f>
        <v/>
      </c>
      <c r="BU36" s="12">
        <f>BU9+BU20+BU28+BU33</f>
        <v/>
      </c>
      <c r="BV36" s="12">
        <f>BV9+BV20+BV28+BV33</f>
        <v/>
      </c>
      <c r="BW36" s="12">
        <f>BW9+BW20+BW28+BW33</f>
        <v/>
      </c>
      <c r="BX36" s="12">
        <f>BX9+BX20+BX28+BX33</f>
        <v/>
      </c>
      <c r="BY36" s="12">
        <f>BY9+BY20+BY28+BY33</f>
        <v/>
      </c>
      <c r="BZ36" s="12">
        <f>BZ9+BZ20+BZ28+BZ33</f>
        <v/>
      </c>
      <c r="CA36" s="12">
        <f>CA9+CA20+CA28+CA33</f>
        <v/>
      </c>
      <c r="CB36" s="12">
        <f>CB9+CB20+CB28+CB33</f>
        <v/>
      </c>
      <c r="CC36" s="12">
        <f>CC9+CC20+CC28+CC33</f>
        <v/>
      </c>
      <c r="CD36" s="12">
        <f>CD9+CD20+CD28+CD33</f>
        <v/>
      </c>
      <c r="CE36" s="12">
        <f>CE9+CE20+CE28+CE33</f>
        <v/>
      </c>
      <c r="CF36" s="12">
        <f>CF9+CF20+CF28+CF33</f>
        <v/>
      </c>
      <c r="CG36" s="12">
        <f>CG9+CG20+CG28+CG33</f>
        <v/>
      </c>
      <c r="CH36" s="12">
        <f>CH9+CH20+CH28+CH33</f>
        <v/>
      </c>
    </row>
    <row r="37">
      <c r="A37" s="3" t="inlineStr">
        <is>
          <t>LP distribution</t>
        </is>
      </c>
      <c r="B37" s="4" t="inlineStr">
        <is>
          <t>$</t>
        </is>
      </c>
      <c r="C37" s="12">
        <f>C9+C29+C34</f>
        <v/>
      </c>
      <c r="D37" s="12">
        <f>D9+D29+D34</f>
        <v/>
      </c>
      <c r="E37" s="12">
        <f>E9+E29+E34</f>
        <v/>
      </c>
      <c r="F37" s="12">
        <f>F9+F29+F34</f>
        <v/>
      </c>
      <c r="G37" s="12">
        <f>G9+G29+G34</f>
        <v/>
      </c>
      <c r="H37" s="12">
        <f>H9+H29+H34</f>
        <v/>
      </c>
      <c r="I37" s="12">
        <f>I9+I29+I34</f>
        <v/>
      </c>
      <c r="J37" s="12">
        <f>J9+J29+J34</f>
        <v/>
      </c>
      <c r="K37" s="12">
        <f>K9+K29+K34</f>
        <v/>
      </c>
      <c r="L37" s="12">
        <f>L9+L29+L34</f>
        <v/>
      </c>
      <c r="M37" s="12">
        <f>M9+M29+M34</f>
        <v/>
      </c>
      <c r="N37" s="12">
        <f>N9+N29+N34</f>
        <v/>
      </c>
      <c r="O37" s="12">
        <f>O9+O29+O34</f>
        <v/>
      </c>
      <c r="P37" s="12">
        <f>P9+P29+P34</f>
        <v/>
      </c>
      <c r="Q37" s="12">
        <f>Q9+Q29+Q34</f>
        <v/>
      </c>
      <c r="R37" s="12">
        <f>R9+R29+R34</f>
        <v/>
      </c>
      <c r="S37" s="12">
        <f>S9+S29+S34</f>
        <v/>
      </c>
      <c r="T37" s="12">
        <f>T9+T29+T34</f>
        <v/>
      </c>
      <c r="U37" s="12">
        <f>U9+U29+U34</f>
        <v/>
      </c>
      <c r="V37" s="12">
        <f>V9+V29+V34</f>
        <v/>
      </c>
      <c r="W37" s="12">
        <f>W9+W29+W34</f>
        <v/>
      </c>
      <c r="X37" s="12">
        <f>X9+X29+X34</f>
        <v/>
      </c>
      <c r="Y37" s="12">
        <f>Y9+Y29+Y34</f>
        <v/>
      </c>
      <c r="Z37" s="12">
        <f>Z9+Z29+Z34</f>
        <v/>
      </c>
      <c r="AA37" s="12">
        <f>AA9+AA29+AA34</f>
        <v/>
      </c>
      <c r="AB37" s="12">
        <f>AB9+AB29+AB34</f>
        <v/>
      </c>
      <c r="AC37" s="12">
        <f>AC9+AC29+AC34</f>
        <v/>
      </c>
      <c r="AD37" s="12">
        <f>AD9+AD29+AD34</f>
        <v/>
      </c>
      <c r="AE37" s="12">
        <f>AE9+AE29+AE34</f>
        <v/>
      </c>
      <c r="AF37" s="12">
        <f>AF9+AF29+AF34</f>
        <v/>
      </c>
      <c r="AG37" s="12">
        <f>AG9+AG29+AG34</f>
        <v/>
      </c>
      <c r="AH37" s="12">
        <f>AH9+AH29+AH34</f>
        <v/>
      </c>
      <c r="AI37" s="12">
        <f>AI9+AI29+AI34</f>
        <v/>
      </c>
      <c r="AJ37" s="12">
        <f>AJ9+AJ29+AJ34</f>
        <v/>
      </c>
      <c r="AK37" s="12">
        <f>AK9+AK29+AK34</f>
        <v/>
      </c>
      <c r="AL37" s="12">
        <f>AL9+AL29+AL34</f>
        <v/>
      </c>
      <c r="AM37" s="12">
        <f>AM9+AM29+AM34</f>
        <v/>
      </c>
      <c r="AN37" s="12">
        <f>AN9+AN29+AN34</f>
        <v/>
      </c>
      <c r="AO37" s="12">
        <f>AO9+AO29+AO34</f>
        <v/>
      </c>
      <c r="AP37" s="12">
        <f>AP9+AP29+AP34</f>
        <v/>
      </c>
      <c r="AQ37" s="12">
        <f>AQ9+AQ29+AQ34</f>
        <v/>
      </c>
      <c r="AR37" s="12">
        <f>AR9+AR29+AR34</f>
        <v/>
      </c>
      <c r="AS37" s="12">
        <f>AS9+AS29+AS34</f>
        <v/>
      </c>
      <c r="AT37" s="12">
        <f>AT9+AT29+AT34</f>
        <v/>
      </c>
      <c r="AU37" s="12">
        <f>AU9+AU29+AU34</f>
        <v/>
      </c>
      <c r="AV37" s="12">
        <f>AV9+AV29+AV34</f>
        <v/>
      </c>
      <c r="AW37" s="12">
        <f>AW9+AW29+AW34</f>
        <v/>
      </c>
      <c r="AX37" s="12">
        <f>AX9+AX29+AX34</f>
        <v/>
      </c>
      <c r="AY37" s="12">
        <f>AY9+AY29+AY34</f>
        <v/>
      </c>
      <c r="AZ37" s="12">
        <f>AZ9+AZ29+AZ34</f>
        <v/>
      </c>
      <c r="BA37" s="12">
        <f>BA9+BA29+BA34</f>
        <v/>
      </c>
      <c r="BB37" s="12">
        <f>BB9+BB29+BB34</f>
        <v/>
      </c>
      <c r="BC37" s="12">
        <f>BC9+BC29+BC34</f>
        <v/>
      </c>
      <c r="BD37" s="12">
        <f>BD9+BD29+BD34</f>
        <v/>
      </c>
      <c r="BE37" s="12">
        <f>BE9+BE29+BE34</f>
        <v/>
      </c>
      <c r="BF37" s="12">
        <f>BF9+BF29+BF34</f>
        <v/>
      </c>
      <c r="BG37" s="12">
        <f>BG9+BG29+BG34</f>
        <v/>
      </c>
      <c r="BH37" s="12">
        <f>BH9+BH29+BH34</f>
        <v/>
      </c>
      <c r="BI37" s="12">
        <f>BI9+BI29+BI34</f>
        <v/>
      </c>
      <c r="BJ37" s="12">
        <f>BJ9+BJ29+BJ34</f>
        <v/>
      </c>
      <c r="BK37" s="12">
        <f>BK9+BK29+BK34</f>
        <v/>
      </c>
      <c r="BL37" s="12">
        <f>BL9+BL29+BL34</f>
        <v/>
      </c>
      <c r="BM37" s="12">
        <f>BM9+BM29+BM34</f>
        <v/>
      </c>
      <c r="BN37" s="12">
        <f>BN9+BN29+BN34</f>
        <v/>
      </c>
      <c r="BO37" s="12">
        <f>BO9+BO29+BO34</f>
        <v/>
      </c>
      <c r="BP37" s="12">
        <f>BP9+BP29+BP34</f>
        <v/>
      </c>
      <c r="BQ37" s="12">
        <f>BQ9+BQ29+BQ34</f>
        <v/>
      </c>
      <c r="BR37" s="12">
        <f>BR9+BR29+BR34</f>
        <v/>
      </c>
      <c r="BS37" s="12">
        <f>BS9+BS29+BS34</f>
        <v/>
      </c>
      <c r="BT37" s="12">
        <f>BT9+BT29+BT34</f>
        <v/>
      </c>
      <c r="BU37" s="12">
        <f>BU9+BU29+BU34</f>
        <v/>
      </c>
      <c r="BV37" s="12">
        <f>BV9+BV29+BV34</f>
        <v/>
      </c>
      <c r="BW37" s="12">
        <f>BW9+BW29+BW34</f>
        <v/>
      </c>
      <c r="BX37" s="12">
        <f>BX9+BX29+BX34</f>
        <v/>
      </c>
      <c r="BY37" s="12">
        <f>BY9+BY29+BY34</f>
        <v/>
      </c>
      <c r="BZ37" s="12">
        <f>BZ9+BZ29+BZ34</f>
        <v/>
      </c>
      <c r="CA37" s="12">
        <f>CA9+CA29+CA34</f>
        <v/>
      </c>
      <c r="CB37" s="12">
        <f>CB9+CB29+CB34</f>
        <v/>
      </c>
      <c r="CC37" s="12">
        <f>CC9+CC29+CC34</f>
        <v/>
      </c>
      <c r="CD37" s="12">
        <f>CD9+CD29+CD34</f>
        <v/>
      </c>
      <c r="CE37" s="12">
        <f>CE9+CE29+CE34</f>
        <v/>
      </c>
      <c r="CF37" s="12">
        <f>CF9+CF29+CF34</f>
        <v/>
      </c>
      <c r="CG37" s="12">
        <f>CG9+CG29+CG34</f>
        <v/>
      </c>
      <c r="CH37" s="12">
        <f>CH9+CH29+CH34</f>
        <v/>
      </c>
    </row>
    <row r="38">
      <c r="A38" s="3" t="inlineStr">
        <is>
          <t>GP distribution</t>
        </is>
      </c>
      <c r="B38" s="4" t="inlineStr">
        <is>
          <t>$</t>
        </is>
      </c>
      <c r="C38" s="12">
        <f>C20+C30+C35</f>
        <v/>
      </c>
      <c r="D38" s="12">
        <f>D20+D30+D35</f>
        <v/>
      </c>
      <c r="E38" s="12">
        <f>E20+E30+E35</f>
        <v/>
      </c>
      <c r="F38" s="12">
        <f>F20+F30+F35</f>
        <v/>
      </c>
      <c r="G38" s="12">
        <f>G20+G30+G35</f>
        <v/>
      </c>
      <c r="H38" s="12">
        <f>H20+H30+H35</f>
        <v/>
      </c>
      <c r="I38" s="12">
        <f>I20+I30+I35</f>
        <v/>
      </c>
      <c r="J38" s="12">
        <f>J20+J30+J35</f>
        <v/>
      </c>
      <c r="K38" s="12">
        <f>K20+K30+K35</f>
        <v/>
      </c>
      <c r="L38" s="12">
        <f>L20+L30+L35</f>
        <v/>
      </c>
      <c r="M38" s="12">
        <f>M20+M30+M35</f>
        <v/>
      </c>
      <c r="N38" s="12">
        <f>N20+N30+N35</f>
        <v/>
      </c>
      <c r="O38" s="12">
        <f>O20+O30+O35</f>
        <v/>
      </c>
      <c r="P38" s="12">
        <f>P20+P30+P35</f>
        <v/>
      </c>
      <c r="Q38" s="12">
        <f>Q20+Q30+Q35</f>
        <v/>
      </c>
      <c r="R38" s="12">
        <f>R20+R30+R35</f>
        <v/>
      </c>
      <c r="S38" s="12">
        <f>S20+S30+S35</f>
        <v/>
      </c>
      <c r="T38" s="12">
        <f>T20+T30+T35</f>
        <v/>
      </c>
      <c r="U38" s="12">
        <f>U20+U30+U35</f>
        <v/>
      </c>
      <c r="V38" s="12">
        <f>V20+V30+V35</f>
        <v/>
      </c>
      <c r="W38" s="12">
        <f>W20+W30+W35</f>
        <v/>
      </c>
      <c r="X38" s="12">
        <f>X20+X30+X35</f>
        <v/>
      </c>
      <c r="Y38" s="12">
        <f>Y20+Y30+Y35</f>
        <v/>
      </c>
      <c r="Z38" s="12">
        <f>Z20+Z30+Z35</f>
        <v/>
      </c>
      <c r="AA38" s="12">
        <f>AA20+AA30+AA35</f>
        <v/>
      </c>
      <c r="AB38" s="12">
        <f>AB20+AB30+AB35</f>
        <v/>
      </c>
      <c r="AC38" s="12">
        <f>AC20+AC30+AC35</f>
        <v/>
      </c>
      <c r="AD38" s="12">
        <f>AD20+AD30+AD35</f>
        <v/>
      </c>
      <c r="AE38" s="12">
        <f>AE20+AE30+AE35</f>
        <v/>
      </c>
      <c r="AF38" s="12">
        <f>AF20+AF30+AF35</f>
        <v/>
      </c>
      <c r="AG38" s="12">
        <f>AG20+AG30+AG35</f>
        <v/>
      </c>
      <c r="AH38" s="12">
        <f>AH20+AH30+AH35</f>
        <v/>
      </c>
      <c r="AI38" s="12">
        <f>AI20+AI30+AI35</f>
        <v/>
      </c>
      <c r="AJ38" s="12">
        <f>AJ20+AJ30+AJ35</f>
        <v/>
      </c>
      <c r="AK38" s="12">
        <f>AK20+AK30+AK35</f>
        <v/>
      </c>
      <c r="AL38" s="12">
        <f>AL20+AL30+AL35</f>
        <v/>
      </c>
      <c r="AM38" s="12">
        <f>AM20+AM30+AM35</f>
        <v/>
      </c>
      <c r="AN38" s="12">
        <f>AN20+AN30+AN35</f>
        <v/>
      </c>
      <c r="AO38" s="12">
        <f>AO20+AO30+AO35</f>
        <v/>
      </c>
      <c r="AP38" s="12">
        <f>AP20+AP30+AP35</f>
        <v/>
      </c>
      <c r="AQ38" s="12">
        <f>AQ20+AQ30+AQ35</f>
        <v/>
      </c>
      <c r="AR38" s="12">
        <f>AR20+AR30+AR35</f>
        <v/>
      </c>
      <c r="AS38" s="12">
        <f>AS20+AS30+AS35</f>
        <v/>
      </c>
      <c r="AT38" s="12">
        <f>AT20+AT30+AT35</f>
        <v/>
      </c>
      <c r="AU38" s="12">
        <f>AU20+AU30+AU35</f>
        <v/>
      </c>
      <c r="AV38" s="12">
        <f>AV20+AV30+AV35</f>
        <v/>
      </c>
      <c r="AW38" s="12">
        <f>AW20+AW30+AW35</f>
        <v/>
      </c>
      <c r="AX38" s="12">
        <f>AX20+AX30+AX35</f>
        <v/>
      </c>
      <c r="AY38" s="12">
        <f>AY20+AY30+AY35</f>
        <v/>
      </c>
      <c r="AZ38" s="12">
        <f>AZ20+AZ30+AZ35</f>
        <v/>
      </c>
      <c r="BA38" s="12">
        <f>BA20+BA30+BA35</f>
        <v/>
      </c>
      <c r="BB38" s="12">
        <f>BB20+BB30+BB35</f>
        <v/>
      </c>
      <c r="BC38" s="12">
        <f>BC20+BC30+BC35</f>
        <v/>
      </c>
      <c r="BD38" s="12">
        <f>BD20+BD30+BD35</f>
        <v/>
      </c>
      <c r="BE38" s="12">
        <f>BE20+BE30+BE35</f>
        <v/>
      </c>
      <c r="BF38" s="12">
        <f>BF20+BF30+BF35</f>
        <v/>
      </c>
      <c r="BG38" s="12">
        <f>BG20+BG30+BG35</f>
        <v/>
      </c>
      <c r="BH38" s="12">
        <f>BH20+BH30+BH35</f>
        <v/>
      </c>
      <c r="BI38" s="12">
        <f>BI20+BI30+BI35</f>
        <v/>
      </c>
      <c r="BJ38" s="12">
        <f>BJ20+BJ30+BJ35</f>
        <v/>
      </c>
      <c r="BK38" s="12">
        <f>BK20+BK30+BK35</f>
        <v/>
      </c>
      <c r="BL38" s="12">
        <f>BL20+BL30+BL35</f>
        <v/>
      </c>
      <c r="BM38" s="12">
        <f>BM20+BM30+BM35</f>
        <v/>
      </c>
      <c r="BN38" s="12">
        <f>BN20+BN30+BN35</f>
        <v/>
      </c>
      <c r="BO38" s="12">
        <f>BO20+BO30+BO35</f>
        <v/>
      </c>
      <c r="BP38" s="12">
        <f>BP20+BP30+BP35</f>
        <v/>
      </c>
      <c r="BQ38" s="12">
        <f>BQ20+BQ30+BQ35</f>
        <v/>
      </c>
      <c r="BR38" s="12">
        <f>BR20+BR30+BR35</f>
        <v/>
      </c>
      <c r="BS38" s="12">
        <f>BS20+BS30+BS35</f>
        <v/>
      </c>
      <c r="BT38" s="12">
        <f>BT20+BT30+BT35</f>
        <v/>
      </c>
      <c r="BU38" s="12">
        <f>BU20+BU30+BU35</f>
        <v/>
      </c>
      <c r="BV38" s="12">
        <f>BV20+BV30+BV35</f>
        <v/>
      </c>
      <c r="BW38" s="12">
        <f>BW20+BW30+BW35</f>
        <v/>
      </c>
      <c r="BX38" s="12">
        <f>BX20+BX30+BX35</f>
        <v/>
      </c>
      <c r="BY38" s="12">
        <f>BY20+BY30+BY35</f>
        <v/>
      </c>
      <c r="BZ38" s="12">
        <f>BZ20+BZ30+BZ35</f>
        <v/>
      </c>
      <c r="CA38" s="12">
        <f>CA20+CA30+CA35</f>
        <v/>
      </c>
      <c r="CB38" s="12">
        <f>CB20+CB30+CB35</f>
        <v/>
      </c>
      <c r="CC38" s="12">
        <f>CC20+CC30+CC35</f>
        <v/>
      </c>
      <c r="CD38" s="12">
        <f>CD20+CD30+CD35</f>
        <v/>
      </c>
      <c r="CE38" s="12">
        <f>CE20+CE30+CE35</f>
        <v/>
      </c>
      <c r="CF38" s="12">
        <f>CF20+CF30+CF35</f>
        <v/>
      </c>
      <c r="CG38" s="12">
        <f>CG20+CG30+CG35</f>
        <v/>
      </c>
      <c r="CH38" s="12">
        <f>CH20+CH30+CH35</f>
        <v/>
      </c>
    </row>
    <row r="39">
      <c r="A39" s="3" t="inlineStr">
        <is>
          <t>Cumulative LP distributions</t>
        </is>
      </c>
      <c r="B39" s="4" t="inlineStr">
        <is>
          <t>$</t>
        </is>
      </c>
      <c r="C39" s="12">
        <f>C37</f>
        <v/>
      </c>
      <c r="D39" s="12">
        <f>C39+D37</f>
        <v/>
      </c>
      <c r="E39" s="12">
        <f>D39+E37</f>
        <v/>
      </c>
      <c r="F39" s="12">
        <f>E39+F37</f>
        <v/>
      </c>
      <c r="G39" s="12">
        <f>F39+G37</f>
        <v/>
      </c>
      <c r="H39" s="12">
        <f>G39+H37</f>
        <v/>
      </c>
      <c r="I39" s="12">
        <f>H39+I37</f>
        <v/>
      </c>
      <c r="J39" s="12">
        <f>I39+J37</f>
        <v/>
      </c>
      <c r="K39" s="12">
        <f>J39+K37</f>
        <v/>
      </c>
      <c r="L39" s="12">
        <f>K39+L37</f>
        <v/>
      </c>
      <c r="M39" s="12">
        <f>L39+M37</f>
        <v/>
      </c>
      <c r="N39" s="12">
        <f>M39+N37</f>
        <v/>
      </c>
      <c r="O39" s="12">
        <f>N39+O37</f>
        <v/>
      </c>
      <c r="P39" s="12">
        <f>O39+P37</f>
        <v/>
      </c>
      <c r="Q39" s="12">
        <f>P39+Q37</f>
        <v/>
      </c>
      <c r="R39" s="12">
        <f>Q39+R37</f>
        <v/>
      </c>
      <c r="S39" s="12">
        <f>R39+S37</f>
        <v/>
      </c>
      <c r="T39" s="12">
        <f>S39+T37</f>
        <v/>
      </c>
      <c r="U39" s="12">
        <f>T39+U37</f>
        <v/>
      </c>
      <c r="V39" s="12">
        <f>U39+V37</f>
        <v/>
      </c>
      <c r="W39" s="12">
        <f>V39+W37</f>
        <v/>
      </c>
      <c r="X39" s="12">
        <f>W39+X37</f>
        <v/>
      </c>
      <c r="Y39" s="12">
        <f>X39+Y37</f>
        <v/>
      </c>
      <c r="Z39" s="12">
        <f>Y39+Z37</f>
        <v/>
      </c>
      <c r="AA39" s="12">
        <f>Z39+AA37</f>
        <v/>
      </c>
      <c r="AB39" s="12">
        <f>AA39+AB37</f>
        <v/>
      </c>
      <c r="AC39" s="12">
        <f>AB39+AC37</f>
        <v/>
      </c>
      <c r="AD39" s="12">
        <f>AC39+AD37</f>
        <v/>
      </c>
      <c r="AE39" s="12">
        <f>AD39+AE37</f>
        <v/>
      </c>
      <c r="AF39" s="12">
        <f>AE39+AF37</f>
        <v/>
      </c>
      <c r="AG39" s="12">
        <f>AF39+AG37</f>
        <v/>
      </c>
      <c r="AH39" s="12">
        <f>AG39+AH37</f>
        <v/>
      </c>
      <c r="AI39" s="12">
        <f>AH39+AI37</f>
        <v/>
      </c>
      <c r="AJ39" s="12">
        <f>AI39+AJ37</f>
        <v/>
      </c>
      <c r="AK39" s="12">
        <f>AJ39+AK37</f>
        <v/>
      </c>
      <c r="AL39" s="12">
        <f>AK39+AL37</f>
        <v/>
      </c>
      <c r="AM39" s="12">
        <f>AL39+AM37</f>
        <v/>
      </c>
      <c r="AN39" s="12">
        <f>AM39+AN37</f>
        <v/>
      </c>
      <c r="AO39" s="12">
        <f>AN39+AO37</f>
        <v/>
      </c>
      <c r="AP39" s="12">
        <f>AO39+AP37</f>
        <v/>
      </c>
      <c r="AQ39" s="12">
        <f>AP39+AQ37</f>
        <v/>
      </c>
      <c r="AR39" s="12">
        <f>AQ39+AR37</f>
        <v/>
      </c>
      <c r="AS39" s="12">
        <f>AR39+AS37</f>
        <v/>
      </c>
      <c r="AT39" s="12">
        <f>AS39+AT37</f>
        <v/>
      </c>
      <c r="AU39" s="12">
        <f>AT39+AU37</f>
        <v/>
      </c>
      <c r="AV39" s="12">
        <f>AU39+AV37</f>
        <v/>
      </c>
      <c r="AW39" s="12">
        <f>AV39+AW37</f>
        <v/>
      </c>
      <c r="AX39" s="12">
        <f>AW39+AX37</f>
        <v/>
      </c>
      <c r="AY39" s="12">
        <f>AX39+AY37</f>
        <v/>
      </c>
      <c r="AZ39" s="12">
        <f>AY39+AZ37</f>
        <v/>
      </c>
      <c r="BA39" s="12">
        <f>AZ39+BA37</f>
        <v/>
      </c>
      <c r="BB39" s="12">
        <f>BA39+BB37</f>
        <v/>
      </c>
      <c r="BC39" s="12">
        <f>BB39+BC37</f>
        <v/>
      </c>
      <c r="BD39" s="12">
        <f>BC39+BD37</f>
        <v/>
      </c>
      <c r="BE39" s="12">
        <f>BD39+BE37</f>
        <v/>
      </c>
      <c r="BF39" s="12">
        <f>BE39+BF37</f>
        <v/>
      </c>
      <c r="BG39" s="12">
        <f>BF39+BG37</f>
        <v/>
      </c>
      <c r="BH39" s="12">
        <f>BG39+BH37</f>
        <v/>
      </c>
      <c r="BI39" s="12">
        <f>BH39+BI37</f>
        <v/>
      </c>
      <c r="BJ39" s="12">
        <f>BI39+BJ37</f>
        <v/>
      </c>
      <c r="BK39" s="12">
        <f>BJ39+BK37</f>
        <v/>
      </c>
      <c r="BL39" s="12">
        <f>BK39+BL37</f>
        <v/>
      </c>
      <c r="BM39" s="12">
        <f>BL39+BM37</f>
        <v/>
      </c>
      <c r="BN39" s="12">
        <f>BM39+BN37</f>
        <v/>
      </c>
      <c r="BO39" s="12">
        <f>BN39+BO37</f>
        <v/>
      </c>
      <c r="BP39" s="12">
        <f>BO39+BP37</f>
        <v/>
      </c>
      <c r="BQ39" s="12">
        <f>BP39+BQ37</f>
        <v/>
      </c>
      <c r="BR39" s="12">
        <f>BQ39+BR37</f>
        <v/>
      </c>
      <c r="BS39" s="12">
        <f>BR39+BS37</f>
        <v/>
      </c>
      <c r="BT39" s="12">
        <f>BS39+BT37</f>
        <v/>
      </c>
      <c r="BU39" s="12">
        <f>BT39+BU37</f>
        <v/>
      </c>
      <c r="BV39" s="12">
        <f>BU39+BV37</f>
        <v/>
      </c>
      <c r="BW39" s="12">
        <f>BV39+BW37</f>
        <v/>
      </c>
      <c r="BX39" s="12">
        <f>BW39+BX37</f>
        <v/>
      </c>
      <c r="BY39" s="12">
        <f>BX39+BY37</f>
        <v/>
      </c>
      <c r="BZ39" s="12">
        <f>BY39+BZ37</f>
        <v/>
      </c>
      <c r="CA39" s="12">
        <f>BZ39+CA37</f>
        <v/>
      </c>
      <c r="CB39" s="12">
        <f>CA39+CB37</f>
        <v/>
      </c>
      <c r="CC39" s="12">
        <f>CB39+CC37</f>
        <v/>
      </c>
      <c r="CD39" s="12">
        <f>CC39+CD37</f>
        <v/>
      </c>
      <c r="CE39" s="12">
        <f>CD39+CE37</f>
        <v/>
      </c>
      <c r="CF39" s="12">
        <f>CE39+CF37</f>
        <v/>
      </c>
      <c r="CG39" s="12">
        <f>CF39+CG37</f>
        <v/>
      </c>
      <c r="CH39" s="12">
        <f>CG39+CH37</f>
        <v/>
      </c>
    </row>
    <row r="40">
      <c r="A40" s="3" t="inlineStr">
        <is>
          <t>Audit tier gap</t>
        </is>
      </c>
      <c r="B40" s="4" t="inlineStr">
        <is>
          <t>$</t>
        </is>
      </c>
      <c r="C40" s="14">
        <f>ABS(C36-C4)</f>
        <v/>
      </c>
      <c r="D40" s="14">
        <f>ABS(D36-D4)</f>
        <v/>
      </c>
      <c r="E40" s="14">
        <f>ABS(E36-E4)</f>
        <v/>
      </c>
      <c r="F40" s="14">
        <f>ABS(F36-F4)</f>
        <v/>
      </c>
      <c r="G40" s="14">
        <f>ABS(G36-G4)</f>
        <v/>
      </c>
      <c r="H40" s="14">
        <f>ABS(H36-H4)</f>
        <v/>
      </c>
      <c r="I40" s="14">
        <f>ABS(I36-I4)</f>
        <v/>
      </c>
      <c r="J40" s="14">
        <f>ABS(J36-J4)</f>
        <v/>
      </c>
      <c r="K40" s="14">
        <f>ABS(K36-K4)</f>
        <v/>
      </c>
      <c r="L40" s="14">
        <f>ABS(L36-L4)</f>
        <v/>
      </c>
      <c r="M40" s="14">
        <f>ABS(M36-M4)</f>
        <v/>
      </c>
      <c r="N40" s="14">
        <f>ABS(N36-N4)</f>
        <v/>
      </c>
      <c r="O40" s="14">
        <f>ABS(O36-O4)</f>
        <v/>
      </c>
      <c r="P40" s="14">
        <f>ABS(P36-P4)</f>
        <v/>
      </c>
      <c r="Q40" s="14">
        <f>ABS(Q36-Q4)</f>
        <v/>
      </c>
      <c r="R40" s="14">
        <f>ABS(R36-R4)</f>
        <v/>
      </c>
      <c r="S40" s="14">
        <f>ABS(S36-S4)</f>
        <v/>
      </c>
      <c r="T40" s="14">
        <f>ABS(T36-T4)</f>
        <v/>
      </c>
      <c r="U40" s="14">
        <f>ABS(U36-U4)</f>
        <v/>
      </c>
      <c r="V40" s="14">
        <f>ABS(V36-V4)</f>
        <v/>
      </c>
      <c r="W40" s="14">
        <f>ABS(W36-W4)</f>
        <v/>
      </c>
      <c r="X40" s="14">
        <f>ABS(X36-X4)</f>
        <v/>
      </c>
      <c r="Y40" s="14">
        <f>ABS(Y36-Y4)</f>
        <v/>
      </c>
      <c r="Z40" s="14">
        <f>ABS(Z36-Z4)</f>
        <v/>
      </c>
      <c r="AA40" s="14">
        <f>ABS(AA36-AA4)</f>
        <v/>
      </c>
      <c r="AB40" s="14">
        <f>ABS(AB36-AB4)</f>
        <v/>
      </c>
      <c r="AC40" s="14">
        <f>ABS(AC36-AC4)</f>
        <v/>
      </c>
      <c r="AD40" s="14">
        <f>ABS(AD36-AD4)</f>
        <v/>
      </c>
      <c r="AE40" s="14">
        <f>ABS(AE36-AE4)</f>
        <v/>
      </c>
      <c r="AF40" s="14">
        <f>ABS(AF36-AF4)</f>
        <v/>
      </c>
      <c r="AG40" s="14">
        <f>ABS(AG36-AG4)</f>
        <v/>
      </c>
      <c r="AH40" s="14">
        <f>ABS(AH36-AH4)</f>
        <v/>
      </c>
      <c r="AI40" s="14">
        <f>ABS(AI36-AI4)</f>
        <v/>
      </c>
      <c r="AJ40" s="14">
        <f>ABS(AJ36-AJ4)</f>
        <v/>
      </c>
      <c r="AK40" s="14">
        <f>ABS(AK36-AK4)</f>
        <v/>
      </c>
      <c r="AL40" s="14">
        <f>ABS(AL36-AL4)</f>
        <v/>
      </c>
      <c r="AM40" s="14">
        <f>ABS(AM36-AM4)</f>
        <v/>
      </c>
      <c r="AN40" s="14">
        <f>ABS(AN36-AN4)</f>
        <v/>
      </c>
      <c r="AO40" s="14">
        <f>ABS(AO36-AO4)</f>
        <v/>
      </c>
      <c r="AP40" s="14">
        <f>ABS(AP36-AP4)</f>
        <v/>
      </c>
      <c r="AQ40" s="14">
        <f>ABS(AQ36-AQ4)</f>
        <v/>
      </c>
      <c r="AR40" s="14">
        <f>ABS(AR36-AR4)</f>
        <v/>
      </c>
      <c r="AS40" s="14">
        <f>ABS(AS36-AS4)</f>
        <v/>
      </c>
      <c r="AT40" s="14">
        <f>ABS(AT36-AT4)</f>
        <v/>
      </c>
      <c r="AU40" s="14">
        <f>ABS(AU36-AU4)</f>
        <v/>
      </c>
      <c r="AV40" s="14">
        <f>ABS(AV36-AV4)</f>
        <v/>
      </c>
      <c r="AW40" s="14">
        <f>ABS(AW36-AW4)</f>
        <v/>
      </c>
      <c r="AX40" s="14">
        <f>ABS(AX36-AX4)</f>
        <v/>
      </c>
      <c r="AY40" s="14">
        <f>ABS(AY36-AY4)</f>
        <v/>
      </c>
      <c r="AZ40" s="14">
        <f>ABS(AZ36-AZ4)</f>
        <v/>
      </c>
      <c r="BA40" s="14">
        <f>ABS(BA36-BA4)</f>
        <v/>
      </c>
      <c r="BB40" s="14">
        <f>ABS(BB36-BB4)</f>
        <v/>
      </c>
      <c r="BC40" s="14">
        <f>ABS(BC36-BC4)</f>
        <v/>
      </c>
      <c r="BD40" s="14">
        <f>ABS(BD36-BD4)</f>
        <v/>
      </c>
      <c r="BE40" s="14">
        <f>ABS(BE36-BE4)</f>
        <v/>
      </c>
      <c r="BF40" s="14">
        <f>ABS(BF36-BF4)</f>
        <v/>
      </c>
      <c r="BG40" s="14">
        <f>ABS(BG36-BG4)</f>
        <v/>
      </c>
      <c r="BH40" s="14">
        <f>ABS(BH36-BH4)</f>
        <v/>
      </c>
      <c r="BI40" s="14">
        <f>ABS(BI36-BI4)</f>
        <v/>
      </c>
      <c r="BJ40" s="14">
        <f>ABS(BJ36-BJ4)</f>
        <v/>
      </c>
      <c r="BK40" s="14">
        <f>ABS(BK36-BK4)</f>
        <v/>
      </c>
      <c r="BL40" s="14">
        <f>ABS(BL36-BL4)</f>
        <v/>
      </c>
      <c r="BM40" s="14">
        <f>ABS(BM36-BM4)</f>
        <v/>
      </c>
      <c r="BN40" s="14">
        <f>ABS(BN36-BN4)</f>
        <v/>
      </c>
      <c r="BO40" s="14">
        <f>ABS(BO36-BO4)</f>
        <v/>
      </c>
      <c r="BP40" s="14">
        <f>ABS(BP36-BP4)</f>
        <v/>
      </c>
      <c r="BQ40" s="14">
        <f>ABS(BQ36-BQ4)</f>
        <v/>
      </c>
      <c r="BR40" s="14">
        <f>ABS(BR36-BR4)</f>
        <v/>
      </c>
      <c r="BS40" s="14">
        <f>ABS(BS36-BS4)</f>
        <v/>
      </c>
      <c r="BT40" s="14">
        <f>ABS(BT36-BT4)</f>
        <v/>
      </c>
      <c r="BU40" s="14">
        <f>ABS(BU36-BU4)</f>
        <v/>
      </c>
      <c r="BV40" s="14">
        <f>ABS(BV36-BV4)</f>
        <v/>
      </c>
      <c r="BW40" s="14">
        <f>ABS(BW36-BW4)</f>
        <v/>
      </c>
      <c r="BX40" s="14">
        <f>ABS(BX36-BX4)</f>
        <v/>
      </c>
      <c r="BY40" s="14">
        <f>ABS(BY36-BY4)</f>
        <v/>
      </c>
      <c r="BZ40" s="14">
        <f>ABS(BZ36-BZ4)</f>
        <v/>
      </c>
      <c r="CA40" s="14">
        <f>ABS(CA36-CA4)</f>
        <v/>
      </c>
      <c r="CB40" s="14">
        <f>ABS(CB36-CB4)</f>
        <v/>
      </c>
      <c r="CC40" s="14">
        <f>ABS(CC36-CC4)</f>
        <v/>
      </c>
      <c r="CD40" s="14">
        <f>ABS(CD36-CD4)</f>
        <v/>
      </c>
      <c r="CE40" s="14">
        <f>ABS(CE36-CE4)</f>
        <v/>
      </c>
      <c r="CF40" s="14">
        <f>ABS(CF36-CF4)</f>
        <v/>
      </c>
      <c r="CG40" s="14">
        <f>ABS(CG36-CG4)</f>
        <v/>
      </c>
      <c r="CH40" s="14">
        <f>ABS(CH36-CH4)</f>
        <v/>
      </c>
    </row>
    <row r="41">
      <c r="A41" s="3" t="inlineStr">
        <is>
          <t>Audit tier 2 before tier 1</t>
        </is>
      </c>
      <c r="B41" s="4" t="inlineStr">
        <is>
          <t>count</t>
        </is>
      </c>
      <c r="C41" s="10">
        <f>IF(AND(C20&gt;0.01,C8-MAX(C9,0)&gt;0.01),1,0)</f>
        <v/>
      </c>
      <c r="D41" s="10">
        <f>IF(AND(D20&gt;0.01,D8-MAX(D9,0)&gt;0.01),1,0)</f>
        <v/>
      </c>
      <c r="E41" s="10">
        <f>IF(AND(E20&gt;0.01,E8-MAX(E9,0)&gt;0.01),1,0)</f>
        <v/>
      </c>
      <c r="F41" s="10">
        <f>IF(AND(F20&gt;0.01,F8-MAX(F9,0)&gt;0.01),1,0)</f>
        <v/>
      </c>
      <c r="G41" s="10">
        <f>IF(AND(G20&gt;0.01,G8-MAX(G9,0)&gt;0.01),1,0)</f>
        <v/>
      </c>
      <c r="H41" s="10">
        <f>IF(AND(H20&gt;0.01,H8-MAX(H9,0)&gt;0.01),1,0)</f>
        <v/>
      </c>
      <c r="I41" s="10">
        <f>IF(AND(I20&gt;0.01,I8-MAX(I9,0)&gt;0.01),1,0)</f>
        <v/>
      </c>
      <c r="J41" s="10">
        <f>IF(AND(J20&gt;0.01,J8-MAX(J9,0)&gt;0.01),1,0)</f>
        <v/>
      </c>
      <c r="K41" s="10">
        <f>IF(AND(K20&gt;0.01,K8-MAX(K9,0)&gt;0.01),1,0)</f>
        <v/>
      </c>
      <c r="L41" s="10">
        <f>IF(AND(L20&gt;0.01,L8-MAX(L9,0)&gt;0.01),1,0)</f>
        <v/>
      </c>
      <c r="M41" s="10">
        <f>IF(AND(M20&gt;0.01,M8-MAX(M9,0)&gt;0.01),1,0)</f>
        <v/>
      </c>
      <c r="N41" s="10">
        <f>IF(AND(N20&gt;0.01,N8-MAX(N9,0)&gt;0.01),1,0)</f>
        <v/>
      </c>
      <c r="O41" s="10">
        <f>IF(AND(O20&gt;0.01,O8-MAX(O9,0)&gt;0.01),1,0)</f>
        <v/>
      </c>
      <c r="P41" s="10">
        <f>IF(AND(P20&gt;0.01,P8-MAX(P9,0)&gt;0.01),1,0)</f>
        <v/>
      </c>
      <c r="Q41" s="10">
        <f>IF(AND(Q20&gt;0.01,Q8-MAX(Q9,0)&gt;0.01),1,0)</f>
        <v/>
      </c>
      <c r="R41" s="10">
        <f>IF(AND(R20&gt;0.01,R8-MAX(R9,0)&gt;0.01),1,0)</f>
        <v/>
      </c>
      <c r="S41" s="10">
        <f>IF(AND(S20&gt;0.01,S8-MAX(S9,0)&gt;0.01),1,0)</f>
        <v/>
      </c>
      <c r="T41" s="10">
        <f>IF(AND(T20&gt;0.01,T8-MAX(T9,0)&gt;0.01),1,0)</f>
        <v/>
      </c>
      <c r="U41" s="10">
        <f>IF(AND(U20&gt;0.01,U8-MAX(U9,0)&gt;0.01),1,0)</f>
        <v/>
      </c>
      <c r="V41" s="10">
        <f>IF(AND(V20&gt;0.01,V8-MAX(V9,0)&gt;0.01),1,0)</f>
        <v/>
      </c>
      <c r="W41" s="10">
        <f>IF(AND(W20&gt;0.01,W8-MAX(W9,0)&gt;0.01),1,0)</f>
        <v/>
      </c>
      <c r="X41" s="10">
        <f>IF(AND(X20&gt;0.01,X8-MAX(X9,0)&gt;0.01),1,0)</f>
        <v/>
      </c>
      <c r="Y41" s="10">
        <f>IF(AND(Y20&gt;0.01,Y8-MAX(Y9,0)&gt;0.01),1,0)</f>
        <v/>
      </c>
      <c r="Z41" s="10">
        <f>IF(AND(Z20&gt;0.01,Z8-MAX(Z9,0)&gt;0.01),1,0)</f>
        <v/>
      </c>
      <c r="AA41" s="10">
        <f>IF(AND(AA20&gt;0.01,AA8-MAX(AA9,0)&gt;0.01),1,0)</f>
        <v/>
      </c>
      <c r="AB41" s="10">
        <f>IF(AND(AB20&gt;0.01,AB8-MAX(AB9,0)&gt;0.01),1,0)</f>
        <v/>
      </c>
      <c r="AC41" s="10">
        <f>IF(AND(AC20&gt;0.01,AC8-MAX(AC9,0)&gt;0.01),1,0)</f>
        <v/>
      </c>
      <c r="AD41" s="10">
        <f>IF(AND(AD20&gt;0.01,AD8-MAX(AD9,0)&gt;0.01),1,0)</f>
        <v/>
      </c>
      <c r="AE41" s="10">
        <f>IF(AND(AE20&gt;0.01,AE8-MAX(AE9,0)&gt;0.01),1,0)</f>
        <v/>
      </c>
      <c r="AF41" s="10">
        <f>IF(AND(AF20&gt;0.01,AF8-MAX(AF9,0)&gt;0.01),1,0)</f>
        <v/>
      </c>
      <c r="AG41" s="10">
        <f>IF(AND(AG20&gt;0.01,AG8-MAX(AG9,0)&gt;0.01),1,0)</f>
        <v/>
      </c>
      <c r="AH41" s="10">
        <f>IF(AND(AH20&gt;0.01,AH8-MAX(AH9,0)&gt;0.01),1,0)</f>
        <v/>
      </c>
      <c r="AI41" s="10">
        <f>IF(AND(AI20&gt;0.01,AI8-MAX(AI9,0)&gt;0.01),1,0)</f>
        <v/>
      </c>
      <c r="AJ41" s="10">
        <f>IF(AND(AJ20&gt;0.01,AJ8-MAX(AJ9,0)&gt;0.01),1,0)</f>
        <v/>
      </c>
      <c r="AK41" s="10">
        <f>IF(AND(AK20&gt;0.01,AK8-MAX(AK9,0)&gt;0.01),1,0)</f>
        <v/>
      </c>
      <c r="AL41" s="10">
        <f>IF(AND(AL20&gt;0.01,AL8-MAX(AL9,0)&gt;0.01),1,0)</f>
        <v/>
      </c>
      <c r="AM41" s="10">
        <f>IF(AND(AM20&gt;0.01,AM8-MAX(AM9,0)&gt;0.01),1,0)</f>
        <v/>
      </c>
      <c r="AN41" s="10">
        <f>IF(AND(AN20&gt;0.01,AN8-MAX(AN9,0)&gt;0.01),1,0)</f>
        <v/>
      </c>
      <c r="AO41" s="10">
        <f>IF(AND(AO20&gt;0.01,AO8-MAX(AO9,0)&gt;0.01),1,0)</f>
        <v/>
      </c>
      <c r="AP41" s="10">
        <f>IF(AND(AP20&gt;0.01,AP8-MAX(AP9,0)&gt;0.01),1,0)</f>
        <v/>
      </c>
      <c r="AQ41" s="10">
        <f>IF(AND(AQ20&gt;0.01,AQ8-MAX(AQ9,0)&gt;0.01),1,0)</f>
        <v/>
      </c>
      <c r="AR41" s="10">
        <f>IF(AND(AR20&gt;0.01,AR8-MAX(AR9,0)&gt;0.01),1,0)</f>
        <v/>
      </c>
      <c r="AS41" s="10">
        <f>IF(AND(AS20&gt;0.01,AS8-MAX(AS9,0)&gt;0.01),1,0)</f>
        <v/>
      </c>
      <c r="AT41" s="10">
        <f>IF(AND(AT20&gt;0.01,AT8-MAX(AT9,0)&gt;0.01),1,0)</f>
        <v/>
      </c>
      <c r="AU41" s="10">
        <f>IF(AND(AU20&gt;0.01,AU8-MAX(AU9,0)&gt;0.01),1,0)</f>
        <v/>
      </c>
      <c r="AV41" s="10">
        <f>IF(AND(AV20&gt;0.01,AV8-MAX(AV9,0)&gt;0.01),1,0)</f>
        <v/>
      </c>
      <c r="AW41" s="10">
        <f>IF(AND(AW20&gt;0.01,AW8-MAX(AW9,0)&gt;0.01),1,0)</f>
        <v/>
      </c>
      <c r="AX41" s="10">
        <f>IF(AND(AX20&gt;0.01,AX8-MAX(AX9,0)&gt;0.01),1,0)</f>
        <v/>
      </c>
      <c r="AY41" s="10">
        <f>IF(AND(AY20&gt;0.01,AY8-MAX(AY9,0)&gt;0.01),1,0)</f>
        <v/>
      </c>
      <c r="AZ41" s="10">
        <f>IF(AND(AZ20&gt;0.01,AZ8-MAX(AZ9,0)&gt;0.01),1,0)</f>
        <v/>
      </c>
      <c r="BA41" s="10">
        <f>IF(AND(BA20&gt;0.01,BA8-MAX(BA9,0)&gt;0.01),1,0)</f>
        <v/>
      </c>
      <c r="BB41" s="10">
        <f>IF(AND(BB20&gt;0.01,BB8-MAX(BB9,0)&gt;0.01),1,0)</f>
        <v/>
      </c>
      <c r="BC41" s="10">
        <f>IF(AND(BC20&gt;0.01,BC8-MAX(BC9,0)&gt;0.01),1,0)</f>
        <v/>
      </c>
      <c r="BD41" s="10">
        <f>IF(AND(BD20&gt;0.01,BD8-MAX(BD9,0)&gt;0.01),1,0)</f>
        <v/>
      </c>
      <c r="BE41" s="10">
        <f>IF(AND(BE20&gt;0.01,BE8-MAX(BE9,0)&gt;0.01),1,0)</f>
        <v/>
      </c>
      <c r="BF41" s="10">
        <f>IF(AND(BF20&gt;0.01,BF8-MAX(BF9,0)&gt;0.01),1,0)</f>
        <v/>
      </c>
      <c r="BG41" s="10">
        <f>IF(AND(BG20&gt;0.01,BG8-MAX(BG9,0)&gt;0.01),1,0)</f>
        <v/>
      </c>
      <c r="BH41" s="10">
        <f>IF(AND(BH20&gt;0.01,BH8-MAX(BH9,0)&gt;0.01),1,0)</f>
        <v/>
      </c>
      <c r="BI41" s="10">
        <f>IF(AND(BI20&gt;0.01,BI8-MAX(BI9,0)&gt;0.01),1,0)</f>
        <v/>
      </c>
      <c r="BJ41" s="10">
        <f>IF(AND(BJ20&gt;0.01,BJ8-MAX(BJ9,0)&gt;0.01),1,0)</f>
        <v/>
      </c>
      <c r="BK41" s="10">
        <f>IF(AND(BK20&gt;0.01,BK8-MAX(BK9,0)&gt;0.01),1,0)</f>
        <v/>
      </c>
      <c r="BL41" s="10">
        <f>IF(AND(BL20&gt;0.01,BL8-MAX(BL9,0)&gt;0.01),1,0)</f>
        <v/>
      </c>
      <c r="BM41" s="10">
        <f>IF(AND(BM20&gt;0.01,BM8-MAX(BM9,0)&gt;0.01),1,0)</f>
        <v/>
      </c>
      <c r="BN41" s="10">
        <f>IF(AND(BN20&gt;0.01,BN8-MAX(BN9,0)&gt;0.01),1,0)</f>
        <v/>
      </c>
      <c r="BO41" s="10">
        <f>IF(AND(BO20&gt;0.01,BO8-MAX(BO9,0)&gt;0.01),1,0)</f>
        <v/>
      </c>
      <c r="BP41" s="10">
        <f>IF(AND(BP20&gt;0.01,BP8-MAX(BP9,0)&gt;0.01),1,0)</f>
        <v/>
      </c>
      <c r="BQ41" s="10">
        <f>IF(AND(BQ20&gt;0.01,BQ8-MAX(BQ9,0)&gt;0.01),1,0)</f>
        <v/>
      </c>
      <c r="BR41" s="10">
        <f>IF(AND(BR20&gt;0.01,BR8-MAX(BR9,0)&gt;0.01),1,0)</f>
        <v/>
      </c>
      <c r="BS41" s="10">
        <f>IF(AND(BS20&gt;0.01,BS8-MAX(BS9,0)&gt;0.01),1,0)</f>
        <v/>
      </c>
      <c r="BT41" s="10">
        <f>IF(AND(BT20&gt;0.01,BT8-MAX(BT9,0)&gt;0.01),1,0)</f>
        <v/>
      </c>
      <c r="BU41" s="10">
        <f>IF(AND(BU20&gt;0.01,BU8-MAX(BU9,0)&gt;0.01),1,0)</f>
        <v/>
      </c>
      <c r="BV41" s="10">
        <f>IF(AND(BV20&gt;0.01,BV8-MAX(BV9,0)&gt;0.01),1,0)</f>
        <v/>
      </c>
      <c r="BW41" s="10">
        <f>IF(AND(BW20&gt;0.01,BW8-MAX(BW9,0)&gt;0.01),1,0)</f>
        <v/>
      </c>
      <c r="BX41" s="10">
        <f>IF(AND(BX20&gt;0.01,BX8-MAX(BX9,0)&gt;0.01),1,0)</f>
        <v/>
      </c>
      <c r="BY41" s="10">
        <f>IF(AND(BY20&gt;0.01,BY8-MAX(BY9,0)&gt;0.01),1,0)</f>
        <v/>
      </c>
      <c r="BZ41" s="10">
        <f>IF(AND(BZ20&gt;0.01,BZ8-MAX(BZ9,0)&gt;0.01),1,0)</f>
        <v/>
      </c>
      <c r="CA41" s="10">
        <f>IF(AND(CA20&gt;0.01,CA8-MAX(CA9,0)&gt;0.01),1,0)</f>
        <v/>
      </c>
      <c r="CB41" s="10">
        <f>IF(AND(CB20&gt;0.01,CB8-MAX(CB9,0)&gt;0.01),1,0)</f>
        <v/>
      </c>
      <c r="CC41" s="10">
        <f>IF(AND(CC20&gt;0.01,CC8-MAX(CC9,0)&gt;0.01),1,0)</f>
        <v/>
      </c>
      <c r="CD41" s="10">
        <f>IF(AND(CD20&gt;0.01,CD8-MAX(CD9,0)&gt;0.01),1,0)</f>
        <v/>
      </c>
      <c r="CE41" s="10">
        <f>IF(AND(CE20&gt;0.01,CE8-MAX(CE9,0)&gt;0.01),1,0)</f>
        <v/>
      </c>
      <c r="CF41" s="10">
        <f>IF(AND(CF20&gt;0.01,CF8-MAX(CF9,0)&gt;0.01),1,0)</f>
        <v/>
      </c>
      <c r="CG41" s="10">
        <f>IF(AND(CG20&gt;0.01,CG8-MAX(CG9,0)&gt;0.01),1,0)</f>
        <v/>
      </c>
      <c r="CH41" s="10">
        <f>IF(AND(CH20&gt;0.01,CH8-MAX(CH9,0)&gt;0.01),1,0)</f>
        <v/>
      </c>
    </row>
    <row r="42">
      <c r="A42" s="3" t="inlineStr">
        <is>
          <t>Audit tier 3 before tier 2</t>
        </is>
      </c>
      <c r="B42" s="4" t="inlineStr">
        <is>
          <t>count</t>
        </is>
      </c>
      <c r="C42" s="10">
        <f>IF(AND(C28&gt;0.01,C22=0),1,0)</f>
        <v/>
      </c>
      <c r="D42" s="10">
        <f>IF(AND(D28&gt;0.01,D22=0),1,0)</f>
        <v/>
      </c>
      <c r="E42" s="10">
        <f>IF(AND(E28&gt;0.01,E22=0),1,0)</f>
        <v/>
      </c>
      <c r="F42" s="10">
        <f>IF(AND(F28&gt;0.01,F22=0),1,0)</f>
        <v/>
      </c>
      <c r="G42" s="10">
        <f>IF(AND(G28&gt;0.01,G22=0),1,0)</f>
        <v/>
      </c>
      <c r="H42" s="10">
        <f>IF(AND(H28&gt;0.01,H22=0),1,0)</f>
        <v/>
      </c>
      <c r="I42" s="10">
        <f>IF(AND(I28&gt;0.01,I22=0),1,0)</f>
        <v/>
      </c>
      <c r="J42" s="10">
        <f>IF(AND(J28&gt;0.01,J22=0),1,0)</f>
        <v/>
      </c>
      <c r="K42" s="10">
        <f>IF(AND(K28&gt;0.01,K22=0),1,0)</f>
        <v/>
      </c>
      <c r="L42" s="10">
        <f>IF(AND(L28&gt;0.01,L22=0),1,0)</f>
        <v/>
      </c>
      <c r="M42" s="10">
        <f>IF(AND(M28&gt;0.01,M22=0),1,0)</f>
        <v/>
      </c>
      <c r="N42" s="10">
        <f>IF(AND(N28&gt;0.01,N22=0),1,0)</f>
        <v/>
      </c>
      <c r="O42" s="10">
        <f>IF(AND(O28&gt;0.01,O22=0),1,0)</f>
        <v/>
      </c>
      <c r="P42" s="10">
        <f>IF(AND(P28&gt;0.01,P22=0),1,0)</f>
        <v/>
      </c>
      <c r="Q42" s="10">
        <f>IF(AND(Q28&gt;0.01,Q22=0),1,0)</f>
        <v/>
      </c>
      <c r="R42" s="10">
        <f>IF(AND(R28&gt;0.01,R22=0),1,0)</f>
        <v/>
      </c>
      <c r="S42" s="10">
        <f>IF(AND(S28&gt;0.01,S22=0),1,0)</f>
        <v/>
      </c>
      <c r="T42" s="10">
        <f>IF(AND(T28&gt;0.01,T22=0),1,0)</f>
        <v/>
      </c>
      <c r="U42" s="10">
        <f>IF(AND(U28&gt;0.01,U22=0),1,0)</f>
        <v/>
      </c>
      <c r="V42" s="10">
        <f>IF(AND(V28&gt;0.01,V22=0),1,0)</f>
        <v/>
      </c>
      <c r="W42" s="10">
        <f>IF(AND(W28&gt;0.01,W22=0),1,0)</f>
        <v/>
      </c>
      <c r="X42" s="10">
        <f>IF(AND(X28&gt;0.01,X22=0),1,0)</f>
        <v/>
      </c>
      <c r="Y42" s="10">
        <f>IF(AND(Y28&gt;0.01,Y22=0),1,0)</f>
        <v/>
      </c>
      <c r="Z42" s="10">
        <f>IF(AND(Z28&gt;0.01,Z22=0),1,0)</f>
        <v/>
      </c>
      <c r="AA42" s="10">
        <f>IF(AND(AA28&gt;0.01,AA22=0),1,0)</f>
        <v/>
      </c>
      <c r="AB42" s="10">
        <f>IF(AND(AB28&gt;0.01,AB22=0),1,0)</f>
        <v/>
      </c>
      <c r="AC42" s="10">
        <f>IF(AND(AC28&gt;0.01,AC22=0),1,0)</f>
        <v/>
      </c>
      <c r="AD42" s="10">
        <f>IF(AND(AD28&gt;0.01,AD22=0),1,0)</f>
        <v/>
      </c>
      <c r="AE42" s="10">
        <f>IF(AND(AE28&gt;0.01,AE22=0),1,0)</f>
        <v/>
      </c>
      <c r="AF42" s="10">
        <f>IF(AND(AF28&gt;0.01,AF22=0),1,0)</f>
        <v/>
      </c>
      <c r="AG42" s="10">
        <f>IF(AND(AG28&gt;0.01,AG22=0),1,0)</f>
        <v/>
      </c>
      <c r="AH42" s="10">
        <f>IF(AND(AH28&gt;0.01,AH22=0),1,0)</f>
        <v/>
      </c>
      <c r="AI42" s="10">
        <f>IF(AND(AI28&gt;0.01,AI22=0),1,0)</f>
        <v/>
      </c>
      <c r="AJ42" s="10">
        <f>IF(AND(AJ28&gt;0.01,AJ22=0),1,0)</f>
        <v/>
      </c>
      <c r="AK42" s="10">
        <f>IF(AND(AK28&gt;0.01,AK22=0),1,0)</f>
        <v/>
      </c>
      <c r="AL42" s="10">
        <f>IF(AND(AL28&gt;0.01,AL22=0),1,0)</f>
        <v/>
      </c>
      <c r="AM42" s="10">
        <f>IF(AND(AM28&gt;0.01,AM22=0),1,0)</f>
        <v/>
      </c>
      <c r="AN42" s="10">
        <f>IF(AND(AN28&gt;0.01,AN22=0),1,0)</f>
        <v/>
      </c>
      <c r="AO42" s="10">
        <f>IF(AND(AO28&gt;0.01,AO22=0),1,0)</f>
        <v/>
      </c>
      <c r="AP42" s="10">
        <f>IF(AND(AP28&gt;0.01,AP22=0),1,0)</f>
        <v/>
      </c>
      <c r="AQ42" s="10">
        <f>IF(AND(AQ28&gt;0.01,AQ22=0),1,0)</f>
        <v/>
      </c>
      <c r="AR42" s="10">
        <f>IF(AND(AR28&gt;0.01,AR22=0),1,0)</f>
        <v/>
      </c>
      <c r="AS42" s="10">
        <f>IF(AND(AS28&gt;0.01,AS22=0),1,0)</f>
        <v/>
      </c>
      <c r="AT42" s="10">
        <f>IF(AND(AT28&gt;0.01,AT22=0),1,0)</f>
        <v/>
      </c>
      <c r="AU42" s="10">
        <f>IF(AND(AU28&gt;0.01,AU22=0),1,0)</f>
        <v/>
      </c>
      <c r="AV42" s="10">
        <f>IF(AND(AV28&gt;0.01,AV22=0),1,0)</f>
        <v/>
      </c>
      <c r="AW42" s="10">
        <f>IF(AND(AW28&gt;0.01,AW22=0),1,0)</f>
        <v/>
      </c>
      <c r="AX42" s="10">
        <f>IF(AND(AX28&gt;0.01,AX22=0),1,0)</f>
        <v/>
      </c>
      <c r="AY42" s="10">
        <f>IF(AND(AY28&gt;0.01,AY22=0),1,0)</f>
        <v/>
      </c>
      <c r="AZ42" s="10">
        <f>IF(AND(AZ28&gt;0.01,AZ22=0),1,0)</f>
        <v/>
      </c>
      <c r="BA42" s="10">
        <f>IF(AND(BA28&gt;0.01,BA22=0),1,0)</f>
        <v/>
      </c>
      <c r="BB42" s="10">
        <f>IF(AND(BB28&gt;0.01,BB22=0),1,0)</f>
        <v/>
      </c>
      <c r="BC42" s="10">
        <f>IF(AND(BC28&gt;0.01,BC22=0),1,0)</f>
        <v/>
      </c>
      <c r="BD42" s="10">
        <f>IF(AND(BD28&gt;0.01,BD22=0),1,0)</f>
        <v/>
      </c>
      <c r="BE42" s="10">
        <f>IF(AND(BE28&gt;0.01,BE22=0),1,0)</f>
        <v/>
      </c>
      <c r="BF42" s="10">
        <f>IF(AND(BF28&gt;0.01,BF22=0),1,0)</f>
        <v/>
      </c>
      <c r="BG42" s="10">
        <f>IF(AND(BG28&gt;0.01,BG22=0),1,0)</f>
        <v/>
      </c>
      <c r="BH42" s="10">
        <f>IF(AND(BH28&gt;0.01,BH22=0),1,0)</f>
        <v/>
      </c>
      <c r="BI42" s="10">
        <f>IF(AND(BI28&gt;0.01,BI22=0),1,0)</f>
        <v/>
      </c>
      <c r="BJ42" s="10">
        <f>IF(AND(BJ28&gt;0.01,BJ22=0),1,0)</f>
        <v/>
      </c>
      <c r="BK42" s="10">
        <f>IF(AND(BK28&gt;0.01,BK22=0),1,0)</f>
        <v/>
      </c>
      <c r="BL42" s="10">
        <f>IF(AND(BL28&gt;0.01,BL22=0),1,0)</f>
        <v/>
      </c>
      <c r="BM42" s="10">
        <f>IF(AND(BM28&gt;0.01,BM22=0),1,0)</f>
        <v/>
      </c>
      <c r="BN42" s="10">
        <f>IF(AND(BN28&gt;0.01,BN22=0),1,0)</f>
        <v/>
      </c>
      <c r="BO42" s="10">
        <f>IF(AND(BO28&gt;0.01,BO22=0),1,0)</f>
        <v/>
      </c>
      <c r="BP42" s="10">
        <f>IF(AND(BP28&gt;0.01,BP22=0),1,0)</f>
        <v/>
      </c>
      <c r="BQ42" s="10">
        <f>IF(AND(BQ28&gt;0.01,BQ22=0),1,0)</f>
        <v/>
      </c>
      <c r="BR42" s="10">
        <f>IF(AND(BR28&gt;0.01,BR22=0),1,0)</f>
        <v/>
      </c>
      <c r="BS42" s="10">
        <f>IF(AND(BS28&gt;0.01,BS22=0),1,0)</f>
        <v/>
      </c>
      <c r="BT42" s="10">
        <f>IF(AND(BT28&gt;0.01,BT22=0),1,0)</f>
        <v/>
      </c>
      <c r="BU42" s="10">
        <f>IF(AND(BU28&gt;0.01,BU22=0),1,0)</f>
        <v/>
      </c>
      <c r="BV42" s="10">
        <f>IF(AND(BV28&gt;0.01,BV22=0),1,0)</f>
        <v/>
      </c>
      <c r="BW42" s="10">
        <f>IF(AND(BW28&gt;0.01,BW22=0),1,0)</f>
        <v/>
      </c>
      <c r="BX42" s="10">
        <f>IF(AND(BX28&gt;0.01,BX22=0),1,0)</f>
        <v/>
      </c>
      <c r="BY42" s="10">
        <f>IF(AND(BY28&gt;0.01,BY22=0),1,0)</f>
        <v/>
      </c>
      <c r="BZ42" s="10">
        <f>IF(AND(BZ28&gt;0.01,BZ22=0),1,0)</f>
        <v/>
      </c>
      <c r="CA42" s="10">
        <f>IF(AND(CA28&gt;0.01,CA22=0),1,0)</f>
        <v/>
      </c>
      <c r="CB42" s="10">
        <f>IF(AND(CB28&gt;0.01,CB22=0),1,0)</f>
        <v/>
      </c>
      <c r="CC42" s="10">
        <f>IF(AND(CC28&gt;0.01,CC22=0),1,0)</f>
        <v/>
      </c>
      <c r="CD42" s="10">
        <f>IF(AND(CD28&gt;0.01,CD22=0),1,0)</f>
        <v/>
      </c>
      <c r="CE42" s="10">
        <f>IF(AND(CE28&gt;0.01,CE22=0),1,0)</f>
        <v/>
      </c>
      <c r="CF42" s="10">
        <f>IF(AND(CF28&gt;0.01,CF22=0),1,0)</f>
        <v/>
      </c>
      <c r="CG42" s="10">
        <f>IF(AND(CG28&gt;0.01,CG22=0),1,0)</f>
        <v/>
      </c>
      <c r="CH42" s="10">
        <f>IF(AND(CH28&gt;0.01,CH22=0),1,0)</f>
        <v/>
      </c>
    </row>
    <row r="43">
      <c r="A43" s="3" t="inlineStr">
        <is>
          <t>Audit tier 4 before gate</t>
        </is>
      </c>
      <c r="B43" s="4" t="inlineStr">
        <is>
          <t>count</t>
        </is>
      </c>
      <c r="C43" s="10">
        <f>IF(AND(ABS(C33)&gt;0.01,C32=0),1,0)</f>
        <v/>
      </c>
      <c r="D43" s="10">
        <f>IF(AND(ABS(D33)&gt;0.01,D32=0),1,0)</f>
        <v/>
      </c>
      <c r="E43" s="10">
        <f>IF(AND(ABS(E33)&gt;0.01,E32=0),1,0)</f>
        <v/>
      </c>
      <c r="F43" s="10">
        <f>IF(AND(ABS(F33)&gt;0.01,F32=0),1,0)</f>
        <v/>
      </c>
      <c r="G43" s="10">
        <f>IF(AND(ABS(G33)&gt;0.01,G32=0),1,0)</f>
        <v/>
      </c>
      <c r="H43" s="10">
        <f>IF(AND(ABS(H33)&gt;0.01,H32=0),1,0)</f>
        <v/>
      </c>
      <c r="I43" s="10">
        <f>IF(AND(ABS(I33)&gt;0.01,I32=0),1,0)</f>
        <v/>
      </c>
      <c r="J43" s="10">
        <f>IF(AND(ABS(J33)&gt;0.01,J32=0),1,0)</f>
        <v/>
      </c>
      <c r="K43" s="10">
        <f>IF(AND(ABS(K33)&gt;0.01,K32=0),1,0)</f>
        <v/>
      </c>
      <c r="L43" s="10">
        <f>IF(AND(ABS(L33)&gt;0.01,L32=0),1,0)</f>
        <v/>
      </c>
      <c r="M43" s="10">
        <f>IF(AND(ABS(M33)&gt;0.01,M32=0),1,0)</f>
        <v/>
      </c>
      <c r="N43" s="10">
        <f>IF(AND(ABS(N33)&gt;0.01,N32=0),1,0)</f>
        <v/>
      </c>
      <c r="O43" s="10">
        <f>IF(AND(ABS(O33)&gt;0.01,O32=0),1,0)</f>
        <v/>
      </c>
      <c r="P43" s="10">
        <f>IF(AND(ABS(P33)&gt;0.01,P32=0),1,0)</f>
        <v/>
      </c>
      <c r="Q43" s="10">
        <f>IF(AND(ABS(Q33)&gt;0.01,Q32=0),1,0)</f>
        <v/>
      </c>
      <c r="R43" s="10">
        <f>IF(AND(ABS(R33)&gt;0.01,R32=0),1,0)</f>
        <v/>
      </c>
      <c r="S43" s="10">
        <f>IF(AND(ABS(S33)&gt;0.01,S32=0),1,0)</f>
        <v/>
      </c>
      <c r="T43" s="10">
        <f>IF(AND(ABS(T33)&gt;0.01,T32=0),1,0)</f>
        <v/>
      </c>
      <c r="U43" s="10">
        <f>IF(AND(ABS(U33)&gt;0.01,U32=0),1,0)</f>
        <v/>
      </c>
      <c r="V43" s="10">
        <f>IF(AND(ABS(V33)&gt;0.01,V32=0),1,0)</f>
        <v/>
      </c>
      <c r="W43" s="10">
        <f>IF(AND(ABS(W33)&gt;0.01,W32=0),1,0)</f>
        <v/>
      </c>
      <c r="X43" s="10">
        <f>IF(AND(ABS(X33)&gt;0.01,X32=0),1,0)</f>
        <v/>
      </c>
      <c r="Y43" s="10">
        <f>IF(AND(ABS(Y33)&gt;0.01,Y32=0),1,0)</f>
        <v/>
      </c>
      <c r="Z43" s="10">
        <f>IF(AND(ABS(Z33)&gt;0.01,Z32=0),1,0)</f>
        <v/>
      </c>
      <c r="AA43" s="10">
        <f>IF(AND(ABS(AA33)&gt;0.01,AA32=0),1,0)</f>
        <v/>
      </c>
      <c r="AB43" s="10">
        <f>IF(AND(ABS(AB33)&gt;0.01,AB32=0),1,0)</f>
        <v/>
      </c>
      <c r="AC43" s="10">
        <f>IF(AND(ABS(AC33)&gt;0.01,AC32=0),1,0)</f>
        <v/>
      </c>
      <c r="AD43" s="10">
        <f>IF(AND(ABS(AD33)&gt;0.01,AD32=0),1,0)</f>
        <v/>
      </c>
      <c r="AE43" s="10">
        <f>IF(AND(ABS(AE33)&gt;0.01,AE32=0),1,0)</f>
        <v/>
      </c>
      <c r="AF43" s="10">
        <f>IF(AND(ABS(AF33)&gt;0.01,AF32=0),1,0)</f>
        <v/>
      </c>
      <c r="AG43" s="10">
        <f>IF(AND(ABS(AG33)&gt;0.01,AG32=0),1,0)</f>
        <v/>
      </c>
      <c r="AH43" s="10">
        <f>IF(AND(ABS(AH33)&gt;0.01,AH32=0),1,0)</f>
        <v/>
      </c>
      <c r="AI43" s="10">
        <f>IF(AND(ABS(AI33)&gt;0.01,AI32=0),1,0)</f>
        <v/>
      </c>
      <c r="AJ43" s="10">
        <f>IF(AND(ABS(AJ33)&gt;0.01,AJ32=0),1,0)</f>
        <v/>
      </c>
      <c r="AK43" s="10">
        <f>IF(AND(ABS(AK33)&gt;0.01,AK32=0),1,0)</f>
        <v/>
      </c>
      <c r="AL43" s="10">
        <f>IF(AND(ABS(AL33)&gt;0.01,AL32=0),1,0)</f>
        <v/>
      </c>
      <c r="AM43" s="10">
        <f>IF(AND(ABS(AM33)&gt;0.01,AM32=0),1,0)</f>
        <v/>
      </c>
      <c r="AN43" s="10">
        <f>IF(AND(ABS(AN33)&gt;0.01,AN32=0),1,0)</f>
        <v/>
      </c>
      <c r="AO43" s="10">
        <f>IF(AND(ABS(AO33)&gt;0.01,AO32=0),1,0)</f>
        <v/>
      </c>
      <c r="AP43" s="10">
        <f>IF(AND(ABS(AP33)&gt;0.01,AP32=0),1,0)</f>
        <v/>
      </c>
      <c r="AQ43" s="10">
        <f>IF(AND(ABS(AQ33)&gt;0.01,AQ32=0),1,0)</f>
        <v/>
      </c>
      <c r="AR43" s="10">
        <f>IF(AND(ABS(AR33)&gt;0.01,AR32=0),1,0)</f>
        <v/>
      </c>
      <c r="AS43" s="10">
        <f>IF(AND(ABS(AS33)&gt;0.01,AS32=0),1,0)</f>
        <v/>
      </c>
      <c r="AT43" s="10">
        <f>IF(AND(ABS(AT33)&gt;0.01,AT32=0),1,0)</f>
        <v/>
      </c>
      <c r="AU43" s="10">
        <f>IF(AND(ABS(AU33)&gt;0.01,AU32=0),1,0)</f>
        <v/>
      </c>
      <c r="AV43" s="10">
        <f>IF(AND(ABS(AV33)&gt;0.01,AV32=0),1,0)</f>
        <v/>
      </c>
      <c r="AW43" s="10">
        <f>IF(AND(ABS(AW33)&gt;0.01,AW32=0),1,0)</f>
        <v/>
      </c>
      <c r="AX43" s="10">
        <f>IF(AND(ABS(AX33)&gt;0.01,AX32=0),1,0)</f>
        <v/>
      </c>
      <c r="AY43" s="10">
        <f>IF(AND(ABS(AY33)&gt;0.01,AY32=0),1,0)</f>
        <v/>
      </c>
      <c r="AZ43" s="10">
        <f>IF(AND(ABS(AZ33)&gt;0.01,AZ32=0),1,0)</f>
        <v/>
      </c>
      <c r="BA43" s="10">
        <f>IF(AND(ABS(BA33)&gt;0.01,BA32=0),1,0)</f>
        <v/>
      </c>
      <c r="BB43" s="10">
        <f>IF(AND(ABS(BB33)&gt;0.01,BB32=0),1,0)</f>
        <v/>
      </c>
      <c r="BC43" s="10">
        <f>IF(AND(ABS(BC33)&gt;0.01,BC32=0),1,0)</f>
        <v/>
      </c>
      <c r="BD43" s="10">
        <f>IF(AND(ABS(BD33)&gt;0.01,BD32=0),1,0)</f>
        <v/>
      </c>
      <c r="BE43" s="10">
        <f>IF(AND(ABS(BE33)&gt;0.01,BE32=0),1,0)</f>
        <v/>
      </c>
      <c r="BF43" s="10">
        <f>IF(AND(ABS(BF33)&gt;0.01,BF32=0),1,0)</f>
        <v/>
      </c>
      <c r="BG43" s="10">
        <f>IF(AND(ABS(BG33)&gt;0.01,BG32=0),1,0)</f>
        <v/>
      </c>
      <c r="BH43" s="10">
        <f>IF(AND(ABS(BH33)&gt;0.01,BH32=0),1,0)</f>
        <v/>
      </c>
      <c r="BI43" s="10">
        <f>IF(AND(ABS(BI33)&gt;0.01,BI32=0),1,0)</f>
        <v/>
      </c>
      <c r="BJ43" s="10">
        <f>IF(AND(ABS(BJ33)&gt;0.01,BJ32=0),1,0)</f>
        <v/>
      </c>
      <c r="BK43" s="10">
        <f>IF(AND(ABS(BK33)&gt;0.01,BK32=0),1,0)</f>
        <v/>
      </c>
      <c r="BL43" s="10">
        <f>IF(AND(ABS(BL33)&gt;0.01,BL32=0),1,0)</f>
        <v/>
      </c>
      <c r="BM43" s="10">
        <f>IF(AND(ABS(BM33)&gt;0.01,BM32=0),1,0)</f>
        <v/>
      </c>
      <c r="BN43" s="10">
        <f>IF(AND(ABS(BN33)&gt;0.01,BN32=0),1,0)</f>
        <v/>
      </c>
      <c r="BO43" s="10">
        <f>IF(AND(ABS(BO33)&gt;0.01,BO32=0),1,0)</f>
        <v/>
      </c>
      <c r="BP43" s="10">
        <f>IF(AND(ABS(BP33)&gt;0.01,BP32=0),1,0)</f>
        <v/>
      </c>
      <c r="BQ43" s="10">
        <f>IF(AND(ABS(BQ33)&gt;0.01,BQ32=0),1,0)</f>
        <v/>
      </c>
      <c r="BR43" s="10">
        <f>IF(AND(ABS(BR33)&gt;0.01,BR32=0),1,0)</f>
        <v/>
      </c>
      <c r="BS43" s="10">
        <f>IF(AND(ABS(BS33)&gt;0.01,BS32=0),1,0)</f>
        <v/>
      </c>
      <c r="BT43" s="10">
        <f>IF(AND(ABS(BT33)&gt;0.01,BT32=0),1,0)</f>
        <v/>
      </c>
      <c r="BU43" s="10">
        <f>IF(AND(ABS(BU33)&gt;0.01,BU32=0),1,0)</f>
        <v/>
      </c>
      <c r="BV43" s="10">
        <f>IF(AND(ABS(BV33)&gt;0.01,BV32=0),1,0)</f>
        <v/>
      </c>
      <c r="BW43" s="10">
        <f>IF(AND(ABS(BW33)&gt;0.01,BW32=0),1,0)</f>
        <v/>
      </c>
      <c r="BX43" s="10">
        <f>IF(AND(ABS(BX33)&gt;0.01,BX32=0),1,0)</f>
        <v/>
      </c>
      <c r="BY43" s="10">
        <f>IF(AND(ABS(BY33)&gt;0.01,BY32=0),1,0)</f>
        <v/>
      </c>
      <c r="BZ43" s="10">
        <f>IF(AND(ABS(BZ33)&gt;0.01,BZ32=0),1,0)</f>
        <v/>
      </c>
      <c r="CA43" s="10">
        <f>IF(AND(ABS(CA33)&gt;0.01,CA32=0),1,0)</f>
        <v/>
      </c>
      <c r="CB43" s="10">
        <f>IF(AND(ABS(CB33)&gt;0.01,CB32=0),1,0)</f>
        <v/>
      </c>
      <c r="CC43" s="10">
        <f>IF(AND(ABS(CC33)&gt;0.01,CC32=0),1,0)</f>
        <v/>
      </c>
      <c r="CD43" s="10">
        <f>IF(AND(ABS(CD33)&gt;0.01,CD32=0),1,0)</f>
        <v/>
      </c>
      <c r="CE43" s="10">
        <f>IF(AND(ABS(CE33)&gt;0.01,CE32=0),1,0)</f>
        <v/>
      </c>
      <c r="CF43" s="10">
        <f>IF(AND(ABS(CF33)&gt;0.01,CF32=0),1,0)</f>
        <v/>
      </c>
      <c r="CG43" s="10">
        <f>IF(AND(ABS(CG33)&gt;0.01,CG32=0),1,0)</f>
        <v/>
      </c>
      <c r="CH43" s="10">
        <f>IF(AND(ABS(CH33)&gt;0.01,CH32=0),1,0)</f>
        <v/>
      </c>
    </row>
  </sheetData>
  <autoFilter ref="A2:CH2"/>
  <pageMargins left="0.4" right="0.4" top="0.6" bottom="0.5" header="0.25" footer="0.25"/>
  <pageSetup orientation="landscape" paperSize="3" scale="55" fitToHeight="0" fitToWidth="1"/>
  <headerFooter>
    <oddHeader>&amp;LElite Luxury Mixed-Use  |  Illustrative template&amp;CWaterfall</oddHeader>
    <oddFooter>&amp;LNot a live deal  |  Not an offering  |  Not investment advice&amp;RPage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H18"/>
  <sheetViews>
    <sheetView view="pageBreakPreview" zoomScale="8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</cols>
  <sheetData>
    <row r="1" ht="22" customHeight="1">
      <c r="A1" s="1" t="inlineStr">
        <is>
          <t>Returns</t>
        </is>
      </c>
    </row>
    <row r="2">
      <c r="A2" s="3" t="inlineStr">
        <is>
          <t>Month</t>
        </is>
      </c>
      <c r="B2" t="inlineStr">
        <is>
          <t>index</t>
        </is>
      </c>
      <c r="C2" s="15">
        <f>COLUMN()-2</f>
        <v/>
      </c>
      <c r="D2" s="15">
        <f>COLUMN()-2</f>
        <v/>
      </c>
      <c r="E2" s="15">
        <f>COLUMN()-2</f>
        <v/>
      </c>
      <c r="F2" s="15">
        <f>COLUMN()-2</f>
        <v/>
      </c>
      <c r="G2" s="15">
        <f>COLUMN()-2</f>
        <v/>
      </c>
      <c r="H2" s="15">
        <f>COLUMN()-2</f>
        <v/>
      </c>
      <c r="I2" s="15">
        <f>COLUMN()-2</f>
        <v/>
      </c>
      <c r="J2" s="15">
        <f>COLUMN()-2</f>
        <v/>
      </c>
      <c r="K2" s="15">
        <f>COLUMN()-2</f>
        <v/>
      </c>
      <c r="L2" s="15">
        <f>COLUMN()-2</f>
        <v/>
      </c>
      <c r="M2" s="15">
        <f>COLUMN()-2</f>
        <v/>
      </c>
      <c r="N2" s="15">
        <f>COLUMN()-2</f>
        <v/>
      </c>
      <c r="O2" s="15">
        <f>COLUMN()-2</f>
        <v/>
      </c>
      <c r="P2" s="15">
        <f>COLUMN()-2</f>
        <v/>
      </c>
      <c r="Q2" s="15">
        <f>COLUMN()-2</f>
        <v/>
      </c>
      <c r="R2" s="15">
        <f>COLUMN()-2</f>
        <v/>
      </c>
      <c r="S2" s="15">
        <f>COLUMN()-2</f>
        <v/>
      </c>
      <c r="T2" s="15">
        <f>COLUMN()-2</f>
        <v/>
      </c>
      <c r="U2" s="15">
        <f>COLUMN()-2</f>
        <v/>
      </c>
      <c r="V2" s="15">
        <f>COLUMN()-2</f>
        <v/>
      </c>
      <c r="W2" s="15">
        <f>COLUMN()-2</f>
        <v/>
      </c>
      <c r="X2" s="15">
        <f>COLUMN()-2</f>
        <v/>
      </c>
      <c r="Y2" s="15">
        <f>COLUMN()-2</f>
        <v/>
      </c>
      <c r="Z2" s="15">
        <f>COLUMN()-2</f>
        <v/>
      </c>
      <c r="AA2" s="15">
        <f>COLUMN()-2</f>
        <v/>
      </c>
      <c r="AB2" s="15">
        <f>COLUMN()-2</f>
        <v/>
      </c>
      <c r="AC2" s="15">
        <f>COLUMN()-2</f>
        <v/>
      </c>
      <c r="AD2" s="15">
        <f>COLUMN()-2</f>
        <v/>
      </c>
      <c r="AE2" s="15">
        <f>COLUMN()-2</f>
        <v/>
      </c>
      <c r="AF2" s="15">
        <f>COLUMN()-2</f>
        <v/>
      </c>
      <c r="AG2" s="15">
        <f>COLUMN()-2</f>
        <v/>
      </c>
      <c r="AH2" s="15">
        <f>COLUMN()-2</f>
        <v/>
      </c>
      <c r="AI2" s="15">
        <f>COLUMN()-2</f>
        <v/>
      </c>
      <c r="AJ2" s="15">
        <f>COLUMN()-2</f>
        <v/>
      </c>
      <c r="AK2" s="15">
        <f>COLUMN()-2</f>
        <v/>
      </c>
      <c r="AL2" s="15">
        <f>COLUMN()-2</f>
        <v/>
      </c>
      <c r="AM2" s="15">
        <f>COLUMN()-2</f>
        <v/>
      </c>
      <c r="AN2" s="15">
        <f>COLUMN()-2</f>
        <v/>
      </c>
      <c r="AO2" s="15">
        <f>COLUMN()-2</f>
        <v/>
      </c>
      <c r="AP2" s="15">
        <f>COLUMN()-2</f>
        <v/>
      </c>
      <c r="AQ2" s="15">
        <f>COLUMN()-2</f>
        <v/>
      </c>
      <c r="AR2" s="15">
        <f>COLUMN()-2</f>
        <v/>
      </c>
      <c r="AS2" s="15">
        <f>COLUMN()-2</f>
        <v/>
      </c>
      <c r="AT2" s="15">
        <f>COLUMN()-2</f>
        <v/>
      </c>
      <c r="AU2" s="15">
        <f>COLUMN()-2</f>
        <v/>
      </c>
      <c r="AV2" s="15">
        <f>COLUMN()-2</f>
        <v/>
      </c>
      <c r="AW2" s="15">
        <f>COLUMN()-2</f>
        <v/>
      </c>
      <c r="AX2" s="15">
        <f>COLUMN()-2</f>
        <v/>
      </c>
      <c r="AY2" s="15">
        <f>COLUMN()-2</f>
        <v/>
      </c>
      <c r="AZ2" s="15">
        <f>COLUMN()-2</f>
        <v/>
      </c>
      <c r="BA2" s="15">
        <f>COLUMN()-2</f>
        <v/>
      </c>
      <c r="BB2" s="15">
        <f>COLUMN()-2</f>
        <v/>
      </c>
      <c r="BC2" s="15">
        <f>COLUMN()-2</f>
        <v/>
      </c>
      <c r="BD2" s="15">
        <f>COLUMN()-2</f>
        <v/>
      </c>
      <c r="BE2" s="15">
        <f>COLUMN()-2</f>
        <v/>
      </c>
      <c r="BF2" s="15">
        <f>COLUMN()-2</f>
        <v/>
      </c>
      <c r="BG2" s="15">
        <f>COLUMN()-2</f>
        <v/>
      </c>
      <c r="BH2" s="15">
        <f>COLUMN()-2</f>
        <v/>
      </c>
      <c r="BI2" s="15">
        <f>COLUMN()-2</f>
        <v/>
      </c>
      <c r="BJ2" s="15">
        <f>COLUMN()-2</f>
        <v/>
      </c>
      <c r="BK2" s="15">
        <f>COLUMN()-2</f>
        <v/>
      </c>
      <c r="BL2" s="15">
        <f>COLUMN()-2</f>
        <v/>
      </c>
      <c r="BM2" s="15">
        <f>COLUMN()-2</f>
        <v/>
      </c>
      <c r="BN2" s="15">
        <f>COLUMN()-2</f>
        <v/>
      </c>
      <c r="BO2" s="15">
        <f>COLUMN()-2</f>
        <v/>
      </c>
      <c r="BP2" s="15">
        <f>COLUMN()-2</f>
        <v/>
      </c>
      <c r="BQ2" s="15">
        <f>COLUMN()-2</f>
        <v/>
      </c>
      <c r="BR2" s="15">
        <f>COLUMN()-2</f>
        <v/>
      </c>
      <c r="BS2" s="15">
        <f>COLUMN()-2</f>
        <v/>
      </c>
      <c r="BT2" s="15">
        <f>COLUMN()-2</f>
        <v/>
      </c>
      <c r="BU2" s="15">
        <f>COLUMN()-2</f>
        <v/>
      </c>
      <c r="BV2" s="15">
        <f>COLUMN()-2</f>
        <v/>
      </c>
      <c r="BW2" s="15">
        <f>COLUMN()-2</f>
        <v/>
      </c>
      <c r="BX2" s="15">
        <f>COLUMN()-2</f>
        <v/>
      </c>
      <c r="BY2" s="15">
        <f>COLUMN()-2</f>
        <v/>
      </c>
      <c r="BZ2" s="15">
        <f>COLUMN()-2</f>
        <v/>
      </c>
      <c r="CA2" s="15">
        <f>COLUMN()-2</f>
        <v/>
      </c>
      <c r="CB2" s="15">
        <f>COLUMN()-2</f>
        <v/>
      </c>
      <c r="CC2" s="15">
        <f>COLUMN()-2</f>
        <v/>
      </c>
      <c r="CD2" s="15">
        <f>COLUMN()-2</f>
        <v/>
      </c>
      <c r="CE2" s="15">
        <f>COLUMN()-2</f>
        <v/>
      </c>
      <c r="CF2" s="15">
        <f>COLUMN()-2</f>
        <v/>
      </c>
      <c r="CG2" s="15">
        <f>COLUMN()-2</f>
        <v/>
      </c>
      <c r="CH2" s="15">
        <f>COLUMN()-2</f>
        <v/>
      </c>
    </row>
    <row r="3">
      <c r="A3" s="3" t="inlineStr">
        <is>
          <t>Date</t>
        </is>
      </c>
      <c r="B3" t="inlineStr">
        <is>
          <t>month-end</t>
        </is>
      </c>
      <c r="C3" s="11">
        <f>EOMONTH(DATE(2026,1,1),C2-1)</f>
        <v/>
      </c>
      <c r="D3" s="11">
        <f>EOMONTH(DATE(2026,1,1),D2-1)</f>
        <v/>
      </c>
      <c r="E3" s="11">
        <f>EOMONTH(DATE(2026,1,1),E2-1)</f>
        <v/>
      </c>
      <c r="F3" s="11">
        <f>EOMONTH(DATE(2026,1,1),F2-1)</f>
        <v/>
      </c>
      <c r="G3" s="11">
        <f>EOMONTH(DATE(2026,1,1),G2-1)</f>
        <v/>
      </c>
      <c r="H3" s="11">
        <f>EOMONTH(DATE(2026,1,1),H2-1)</f>
        <v/>
      </c>
      <c r="I3" s="11">
        <f>EOMONTH(DATE(2026,1,1),I2-1)</f>
        <v/>
      </c>
      <c r="J3" s="11">
        <f>EOMONTH(DATE(2026,1,1),J2-1)</f>
        <v/>
      </c>
      <c r="K3" s="11">
        <f>EOMONTH(DATE(2026,1,1),K2-1)</f>
        <v/>
      </c>
      <c r="L3" s="11">
        <f>EOMONTH(DATE(2026,1,1),L2-1)</f>
        <v/>
      </c>
      <c r="M3" s="11">
        <f>EOMONTH(DATE(2026,1,1),M2-1)</f>
        <v/>
      </c>
      <c r="N3" s="11">
        <f>EOMONTH(DATE(2026,1,1),N2-1)</f>
        <v/>
      </c>
      <c r="O3" s="11">
        <f>EOMONTH(DATE(2026,1,1),O2-1)</f>
        <v/>
      </c>
      <c r="P3" s="11">
        <f>EOMONTH(DATE(2026,1,1),P2-1)</f>
        <v/>
      </c>
      <c r="Q3" s="11">
        <f>EOMONTH(DATE(2026,1,1),Q2-1)</f>
        <v/>
      </c>
      <c r="R3" s="11">
        <f>EOMONTH(DATE(2026,1,1),R2-1)</f>
        <v/>
      </c>
      <c r="S3" s="11">
        <f>EOMONTH(DATE(2026,1,1),S2-1)</f>
        <v/>
      </c>
      <c r="T3" s="11">
        <f>EOMONTH(DATE(2026,1,1),T2-1)</f>
        <v/>
      </c>
      <c r="U3" s="11">
        <f>EOMONTH(DATE(2026,1,1),U2-1)</f>
        <v/>
      </c>
      <c r="V3" s="11">
        <f>EOMONTH(DATE(2026,1,1),V2-1)</f>
        <v/>
      </c>
      <c r="W3" s="11">
        <f>EOMONTH(DATE(2026,1,1),W2-1)</f>
        <v/>
      </c>
      <c r="X3" s="11">
        <f>EOMONTH(DATE(2026,1,1),X2-1)</f>
        <v/>
      </c>
      <c r="Y3" s="11">
        <f>EOMONTH(DATE(2026,1,1),Y2-1)</f>
        <v/>
      </c>
      <c r="Z3" s="11">
        <f>EOMONTH(DATE(2026,1,1),Z2-1)</f>
        <v/>
      </c>
      <c r="AA3" s="11">
        <f>EOMONTH(DATE(2026,1,1),AA2-1)</f>
        <v/>
      </c>
      <c r="AB3" s="11">
        <f>EOMONTH(DATE(2026,1,1),AB2-1)</f>
        <v/>
      </c>
      <c r="AC3" s="11">
        <f>EOMONTH(DATE(2026,1,1),AC2-1)</f>
        <v/>
      </c>
      <c r="AD3" s="11">
        <f>EOMONTH(DATE(2026,1,1),AD2-1)</f>
        <v/>
      </c>
      <c r="AE3" s="11">
        <f>EOMONTH(DATE(2026,1,1),AE2-1)</f>
        <v/>
      </c>
      <c r="AF3" s="11">
        <f>EOMONTH(DATE(2026,1,1),AF2-1)</f>
        <v/>
      </c>
      <c r="AG3" s="11">
        <f>EOMONTH(DATE(2026,1,1),AG2-1)</f>
        <v/>
      </c>
      <c r="AH3" s="11">
        <f>EOMONTH(DATE(2026,1,1),AH2-1)</f>
        <v/>
      </c>
      <c r="AI3" s="11">
        <f>EOMONTH(DATE(2026,1,1),AI2-1)</f>
        <v/>
      </c>
      <c r="AJ3" s="11">
        <f>EOMONTH(DATE(2026,1,1),AJ2-1)</f>
        <v/>
      </c>
      <c r="AK3" s="11">
        <f>EOMONTH(DATE(2026,1,1),AK2-1)</f>
        <v/>
      </c>
      <c r="AL3" s="11">
        <f>EOMONTH(DATE(2026,1,1),AL2-1)</f>
        <v/>
      </c>
      <c r="AM3" s="11">
        <f>EOMONTH(DATE(2026,1,1),AM2-1)</f>
        <v/>
      </c>
      <c r="AN3" s="11">
        <f>EOMONTH(DATE(2026,1,1),AN2-1)</f>
        <v/>
      </c>
      <c r="AO3" s="11">
        <f>EOMONTH(DATE(2026,1,1),AO2-1)</f>
        <v/>
      </c>
      <c r="AP3" s="11">
        <f>EOMONTH(DATE(2026,1,1),AP2-1)</f>
        <v/>
      </c>
      <c r="AQ3" s="11">
        <f>EOMONTH(DATE(2026,1,1),AQ2-1)</f>
        <v/>
      </c>
      <c r="AR3" s="11">
        <f>EOMONTH(DATE(2026,1,1),AR2-1)</f>
        <v/>
      </c>
      <c r="AS3" s="11">
        <f>EOMONTH(DATE(2026,1,1),AS2-1)</f>
        <v/>
      </c>
      <c r="AT3" s="11">
        <f>EOMONTH(DATE(2026,1,1),AT2-1)</f>
        <v/>
      </c>
      <c r="AU3" s="11">
        <f>EOMONTH(DATE(2026,1,1),AU2-1)</f>
        <v/>
      </c>
      <c r="AV3" s="11">
        <f>EOMONTH(DATE(2026,1,1),AV2-1)</f>
        <v/>
      </c>
      <c r="AW3" s="11">
        <f>EOMONTH(DATE(2026,1,1),AW2-1)</f>
        <v/>
      </c>
      <c r="AX3" s="11">
        <f>EOMONTH(DATE(2026,1,1),AX2-1)</f>
        <v/>
      </c>
      <c r="AY3" s="11">
        <f>EOMONTH(DATE(2026,1,1),AY2-1)</f>
        <v/>
      </c>
      <c r="AZ3" s="11">
        <f>EOMONTH(DATE(2026,1,1),AZ2-1)</f>
        <v/>
      </c>
      <c r="BA3" s="11">
        <f>EOMONTH(DATE(2026,1,1),BA2-1)</f>
        <v/>
      </c>
      <c r="BB3" s="11">
        <f>EOMONTH(DATE(2026,1,1),BB2-1)</f>
        <v/>
      </c>
      <c r="BC3" s="11">
        <f>EOMONTH(DATE(2026,1,1),BC2-1)</f>
        <v/>
      </c>
      <c r="BD3" s="11">
        <f>EOMONTH(DATE(2026,1,1),BD2-1)</f>
        <v/>
      </c>
      <c r="BE3" s="11">
        <f>EOMONTH(DATE(2026,1,1),BE2-1)</f>
        <v/>
      </c>
      <c r="BF3" s="11">
        <f>EOMONTH(DATE(2026,1,1),BF2-1)</f>
        <v/>
      </c>
      <c r="BG3" s="11">
        <f>EOMONTH(DATE(2026,1,1),BG2-1)</f>
        <v/>
      </c>
      <c r="BH3" s="11">
        <f>EOMONTH(DATE(2026,1,1),BH2-1)</f>
        <v/>
      </c>
      <c r="BI3" s="11">
        <f>EOMONTH(DATE(2026,1,1),BI2-1)</f>
        <v/>
      </c>
      <c r="BJ3" s="11">
        <f>EOMONTH(DATE(2026,1,1),BJ2-1)</f>
        <v/>
      </c>
      <c r="BK3" s="11">
        <f>EOMONTH(DATE(2026,1,1),BK2-1)</f>
        <v/>
      </c>
      <c r="BL3" s="11">
        <f>EOMONTH(DATE(2026,1,1),BL2-1)</f>
        <v/>
      </c>
      <c r="BM3" s="11">
        <f>EOMONTH(DATE(2026,1,1),BM2-1)</f>
        <v/>
      </c>
      <c r="BN3" s="11">
        <f>EOMONTH(DATE(2026,1,1),BN2-1)</f>
        <v/>
      </c>
      <c r="BO3" s="11">
        <f>EOMONTH(DATE(2026,1,1),BO2-1)</f>
        <v/>
      </c>
      <c r="BP3" s="11">
        <f>EOMONTH(DATE(2026,1,1),BP2-1)</f>
        <v/>
      </c>
      <c r="BQ3" s="11">
        <f>EOMONTH(DATE(2026,1,1),BQ2-1)</f>
        <v/>
      </c>
      <c r="BR3" s="11">
        <f>EOMONTH(DATE(2026,1,1),BR2-1)</f>
        <v/>
      </c>
      <c r="BS3" s="11">
        <f>EOMONTH(DATE(2026,1,1),BS2-1)</f>
        <v/>
      </c>
      <c r="BT3" s="11">
        <f>EOMONTH(DATE(2026,1,1),BT2-1)</f>
        <v/>
      </c>
      <c r="BU3" s="11">
        <f>EOMONTH(DATE(2026,1,1),BU2-1)</f>
        <v/>
      </c>
      <c r="BV3" s="11">
        <f>EOMONTH(DATE(2026,1,1),BV2-1)</f>
        <v/>
      </c>
      <c r="BW3" s="11">
        <f>EOMONTH(DATE(2026,1,1),BW2-1)</f>
        <v/>
      </c>
      <c r="BX3" s="11">
        <f>EOMONTH(DATE(2026,1,1),BX2-1)</f>
        <v/>
      </c>
      <c r="BY3" s="11">
        <f>EOMONTH(DATE(2026,1,1),BY2-1)</f>
        <v/>
      </c>
      <c r="BZ3" s="11">
        <f>EOMONTH(DATE(2026,1,1),BZ2-1)</f>
        <v/>
      </c>
      <c r="CA3" s="11">
        <f>EOMONTH(DATE(2026,1,1),CA2-1)</f>
        <v/>
      </c>
      <c r="CB3" s="11">
        <f>EOMONTH(DATE(2026,1,1),CB2-1)</f>
        <v/>
      </c>
      <c r="CC3" s="11">
        <f>EOMONTH(DATE(2026,1,1),CC2-1)</f>
        <v/>
      </c>
      <c r="CD3" s="11">
        <f>EOMONTH(DATE(2026,1,1),CD2-1)</f>
        <v/>
      </c>
      <c r="CE3" s="11">
        <f>EOMONTH(DATE(2026,1,1),CE2-1)</f>
        <v/>
      </c>
      <c r="CF3" s="11">
        <f>EOMONTH(DATE(2026,1,1),CF2-1)</f>
        <v/>
      </c>
      <c r="CG3" s="11">
        <f>EOMONTH(DATE(2026,1,1),CG2-1)</f>
        <v/>
      </c>
      <c r="CH3" s="11">
        <f>EOMONTH(DATE(2026,1,1),CH2-1)</f>
        <v/>
      </c>
    </row>
    <row r="4">
      <c r="A4" s="3" t="inlineStr">
        <is>
          <t>Project equity cash flow</t>
        </is>
      </c>
      <c r="B4" s="4" t="inlineStr">
        <is>
          <t>$</t>
        </is>
      </c>
      <c r="C4" s="12">
        <f>-ConstructionDebt!C8+ProjectCF!C12</f>
        <v/>
      </c>
      <c r="D4" s="12">
        <f>-ConstructionDebt!D8+ProjectCF!D12</f>
        <v/>
      </c>
      <c r="E4" s="12">
        <f>-ConstructionDebt!E8+ProjectCF!E12</f>
        <v/>
      </c>
      <c r="F4" s="12">
        <f>-ConstructionDebt!F8+ProjectCF!F12</f>
        <v/>
      </c>
      <c r="G4" s="12">
        <f>-ConstructionDebt!G8+ProjectCF!G12</f>
        <v/>
      </c>
      <c r="H4" s="12">
        <f>-ConstructionDebt!H8+ProjectCF!H12</f>
        <v/>
      </c>
      <c r="I4" s="12">
        <f>-ConstructionDebt!I8+ProjectCF!I12</f>
        <v/>
      </c>
      <c r="J4" s="12">
        <f>-ConstructionDebt!J8+ProjectCF!J12</f>
        <v/>
      </c>
      <c r="K4" s="12">
        <f>-ConstructionDebt!K8+ProjectCF!K12</f>
        <v/>
      </c>
      <c r="L4" s="12">
        <f>-ConstructionDebt!L8+ProjectCF!L12</f>
        <v/>
      </c>
      <c r="M4" s="12">
        <f>-ConstructionDebt!M8+ProjectCF!M12</f>
        <v/>
      </c>
      <c r="N4" s="12">
        <f>-ConstructionDebt!N8+ProjectCF!N12</f>
        <v/>
      </c>
      <c r="O4" s="12">
        <f>-ConstructionDebt!O8+ProjectCF!O12</f>
        <v/>
      </c>
      <c r="P4" s="12">
        <f>-ConstructionDebt!P8+ProjectCF!P12</f>
        <v/>
      </c>
      <c r="Q4" s="12">
        <f>-ConstructionDebt!Q8+ProjectCF!Q12</f>
        <v/>
      </c>
      <c r="R4" s="12">
        <f>-ConstructionDebt!R8+ProjectCF!R12</f>
        <v/>
      </c>
      <c r="S4" s="12">
        <f>-ConstructionDebt!S8+ProjectCF!S12</f>
        <v/>
      </c>
      <c r="T4" s="12">
        <f>-ConstructionDebt!T8+ProjectCF!T12</f>
        <v/>
      </c>
      <c r="U4" s="12">
        <f>-ConstructionDebt!U8+ProjectCF!U12</f>
        <v/>
      </c>
      <c r="V4" s="12">
        <f>-ConstructionDebt!V8+ProjectCF!V12</f>
        <v/>
      </c>
      <c r="W4" s="12">
        <f>-ConstructionDebt!W8+ProjectCF!W12</f>
        <v/>
      </c>
      <c r="X4" s="12">
        <f>-ConstructionDebt!X8+ProjectCF!X12</f>
        <v/>
      </c>
      <c r="Y4" s="12">
        <f>-ConstructionDebt!Y8+ProjectCF!Y12</f>
        <v/>
      </c>
      <c r="Z4" s="12">
        <f>-ConstructionDebt!Z8+ProjectCF!Z12</f>
        <v/>
      </c>
      <c r="AA4" s="12">
        <f>-ConstructionDebt!AA8+ProjectCF!AA12</f>
        <v/>
      </c>
      <c r="AB4" s="12">
        <f>-ConstructionDebt!AB8+ProjectCF!AB12</f>
        <v/>
      </c>
      <c r="AC4" s="12">
        <f>-ConstructionDebt!AC8+ProjectCF!AC12</f>
        <v/>
      </c>
      <c r="AD4" s="12">
        <f>-ConstructionDebt!AD8+ProjectCF!AD12</f>
        <v/>
      </c>
      <c r="AE4" s="12">
        <f>-ConstructionDebt!AE8+ProjectCF!AE12</f>
        <v/>
      </c>
      <c r="AF4" s="12">
        <f>-ConstructionDebt!AF8+ProjectCF!AF12</f>
        <v/>
      </c>
      <c r="AG4" s="12">
        <f>-ConstructionDebt!AG8+ProjectCF!AG12</f>
        <v/>
      </c>
      <c r="AH4" s="12">
        <f>-ConstructionDebt!AH8+ProjectCF!AH12</f>
        <v/>
      </c>
      <c r="AI4" s="12">
        <f>-ConstructionDebt!AI8+ProjectCF!AI12</f>
        <v/>
      </c>
      <c r="AJ4" s="12">
        <f>-ConstructionDebt!AJ8+ProjectCF!AJ12</f>
        <v/>
      </c>
      <c r="AK4" s="12">
        <f>-ConstructionDebt!AK8+ProjectCF!AK12</f>
        <v/>
      </c>
      <c r="AL4" s="12">
        <f>-ConstructionDebt!AL8+ProjectCF!AL12</f>
        <v/>
      </c>
      <c r="AM4" s="12">
        <f>-ConstructionDebt!AM8+ProjectCF!AM12</f>
        <v/>
      </c>
      <c r="AN4" s="12">
        <f>-ConstructionDebt!AN8+ProjectCF!AN12</f>
        <v/>
      </c>
      <c r="AO4" s="12">
        <f>-ConstructionDebt!AO8+ProjectCF!AO12</f>
        <v/>
      </c>
      <c r="AP4" s="12">
        <f>-ConstructionDebt!AP8+ProjectCF!AP12</f>
        <v/>
      </c>
      <c r="AQ4" s="12">
        <f>-ConstructionDebt!AQ8+ProjectCF!AQ12</f>
        <v/>
      </c>
      <c r="AR4" s="12">
        <f>-ConstructionDebt!AR8+ProjectCF!AR12</f>
        <v/>
      </c>
      <c r="AS4" s="12">
        <f>-ConstructionDebt!AS8+ProjectCF!AS12</f>
        <v/>
      </c>
      <c r="AT4" s="12">
        <f>-ConstructionDebt!AT8+ProjectCF!AT12</f>
        <v/>
      </c>
      <c r="AU4" s="12">
        <f>-ConstructionDebt!AU8+ProjectCF!AU12</f>
        <v/>
      </c>
      <c r="AV4" s="12">
        <f>-ConstructionDebt!AV8+ProjectCF!AV12</f>
        <v/>
      </c>
      <c r="AW4" s="12">
        <f>-ConstructionDebt!AW8+ProjectCF!AW12</f>
        <v/>
      </c>
      <c r="AX4" s="12">
        <f>-ConstructionDebt!AX8+ProjectCF!AX12</f>
        <v/>
      </c>
      <c r="AY4" s="12">
        <f>-ConstructionDebt!AY8+ProjectCF!AY12</f>
        <v/>
      </c>
      <c r="AZ4" s="12">
        <f>-ConstructionDebt!AZ8+ProjectCF!AZ12</f>
        <v/>
      </c>
      <c r="BA4" s="12">
        <f>-ConstructionDebt!BA8+ProjectCF!BA12</f>
        <v/>
      </c>
      <c r="BB4" s="12">
        <f>-ConstructionDebt!BB8+ProjectCF!BB12</f>
        <v/>
      </c>
      <c r="BC4" s="12">
        <f>-ConstructionDebt!BC8+ProjectCF!BC12</f>
        <v/>
      </c>
      <c r="BD4" s="12">
        <f>-ConstructionDebt!BD8+ProjectCF!BD12</f>
        <v/>
      </c>
      <c r="BE4" s="12">
        <f>-ConstructionDebt!BE8+ProjectCF!BE12</f>
        <v/>
      </c>
      <c r="BF4" s="12">
        <f>-ConstructionDebt!BF8+ProjectCF!BF12</f>
        <v/>
      </c>
      <c r="BG4" s="12">
        <f>-ConstructionDebt!BG8+ProjectCF!BG12</f>
        <v/>
      </c>
      <c r="BH4" s="12">
        <f>-ConstructionDebt!BH8+ProjectCF!BH12</f>
        <v/>
      </c>
      <c r="BI4" s="12">
        <f>-ConstructionDebt!BI8+ProjectCF!BI12</f>
        <v/>
      </c>
      <c r="BJ4" s="12">
        <f>-ConstructionDebt!BJ8+ProjectCF!BJ12</f>
        <v/>
      </c>
      <c r="BK4" s="12">
        <f>-ConstructionDebt!BK8+ProjectCF!BK12</f>
        <v/>
      </c>
      <c r="BL4" s="12">
        <f>-ConstructionDebt!BL8+ProjectCF!BL12</f>
        <v/>
      </c>
      <c r="BM4" s="12">
        <f>-ConstructionDebt!BM8+ProjectCF!BM12</f>
        <v/>
      </c>
      <c r="BN4" s="12">
        <f>-ConstructionDebt!BN8+ProjectCF!BN12</f>
        <v/>
      </c>
      <c r="BO4" s="12">
        <f>-ConstructionDebt!BO8+ProjectCF!BO12</f>
        <v/>
      </c>
      <c r="BP4" s="12">
        <f>-ConstructionDebt!BP8+ProjectCF!BP12</f>
        <v/>
      </c>
      <c r="BQ4" s="12">
        <f>-ConstructionDebt!BQ8+ProjectCF!BQ12</f>
        <v/>
      </c>
      <c r="BR4" s="12">
        <f>-ConstructionDebt!BR8+ProjectCF!BR12</f>
        <v/>
      </c>
      <c r="BS4" s="12">
        <f>-ConstructionDebt!BS8+ProjectCF!BS12</f>
        <v/>
      </c>
      <c r="BT4" s="12">
        <f>-ConstructionDebt!BT8+ProjectCF!BT12</f>
        <v/>
      </c>
      <c r="BU4" s="12">
        <f>-ConstructionDebt!BU8+ProjectCF!BU12</f>
        <v/>
      </c>
      <c r="BV4" s="12">
        <f>-ConstructionDebt!BV8+ProjectCF!BV12</f>
        <v/>
      </c>
      <c r="BW4" s="12">
        <f>-ConstructionDebt!BW8+ProjectCF!BW12</f>
        <v/>
      </c>
      <c r="BX4" s="12">
        <f>-ConstructionDebt!BX8+ProjectCF!BX12</f>
        <v/>
      </c>
      <c r="BY4" s="12">
        <f>-ConstructionDebt!BY8+ProjectCF!BY12</f>
        <v/>
      </c>
      <c r="BZ4" s="12">
        <f>-ConstructionDebt!BZ8+ProjectCF!BZ12</f>
        <v/>
      </c>
      <c r="CA4" s="12">
        <f>-ConstructionDebt!CA8+ProjectCF!CA12</f>
        <v/>
      </c>
      <c r="CB4" s="12">
        <f>-ConstructionDebt!CB8+ProjectCF!CB12</f>
        <v/>
      </c>
      <c r="CC4" s="12">
        <f>-ConstructionDebt!CC8+ProjectCF!CC12</f>
        <v/>
      </c>
      <c r="CD4" s="12">
        <f>-ConstructionDebt!CD8+ProjectCF!CD12</f>
        <v/>
      </c>
      <c r="CE4" s="12">
        <f>-ConstructionDebt!CE8+ProjectCF!CE12</f>
        <v/>
      </c>
      <c r="CF4" s="12">
        <f>-ConstructionDebt!CF8+ProjectCF!CF12</f>
        <v/>
      </c>
      <c r="CG4" s="12">
        <f>-ConstructionDebt!CG8+ProjectCF!CG12</f>
        <v/>
      </c>
      <c r="CH4" s="12">
        <f>-ConstructionDebt!CH8+ProjectCF!CH12</f>
        <v/>
      </c>
    </row>
    <row r="5">
      <c r="A5" s="3" t="inlineStr">
        <is>
          <t>LP cash flow</t>
        </is>
      </c>
      <c r="B5" s="4" t="inlineStr">
        <is>
          <t>$</t>
        </is>
      </c>
      <c r="C5" s="12">
        <f>IF(C2=1,-SourcesUses!$C$31,0)+Waterfall!C37</f>
        <v/>
      </c>
      <c r="D5" s="12">
        <f>IF(D2=1,-SourcesUses!$C$31,0)+Waterfall!D37</f>
        <v/>
      </c>
      <c r="E5" s="12">
        <f>IF(E2=1,-SourcesUses!$C$31,0)+Waterfall!E37</f>
        <v/>
      </c>
      <c r="F5" s="12">
        <f>IF(F2=1,-SourcesUses!$C$31,0)+Waterfall!F37</f>
        <v/>
      </c>
      <c r="G5" s="12">
        <f>IF(G2=1,-SourcesUses!$C$31,0)+Waterfall!G37</f>
        <v/>
      </c>
      <c r="H5" s="12">
        <f>IF(H2=1,-SourcesUses!$C$31,0)+Waterfall!H37</f>
        <v/>
      </c>
      <c r="I5" s="12">
        <f>IF(I2=1,-SourcesUses!$C$31,0)+Waterfall!I37</f>
        <v/>
      </c>
      <c r="J5" s="12">
        <f>IF(J2=1,-SourcesUses!$C$31,0)+Waterfall!J37</f>
        <v/>
      </c>
      <c r="K5" s="12">
        <f>IF(K2=1,-SourcesUses!$C$31,0)+Waterfall!K37</f>
        <v/>
      </c>
      <c r="L5" s="12">
        <f>IF(L2=1,-SourcesUses!$C$31,0)+Waterfall!L37</f>
        <v/>
      </c>
      <c r="M5" s="12">
        <f>IF(M2=1,-SourcesUses!$C$31,0)+Waterfall!M37</f>
        <v/>
      </c>
      <c r="N5" s="12">
        <f>IF(N2=1,-SourcesUses!$C$31,0)+Waterfall!N37</f>
        <v/>
      </c>
      <c r="O5" s="12">
        <f>IF(O2=1,-SourcesUses!$C$31,0)+Waterfall!O37</f>
        <v/>
      </c>
      <c r="P5" s="12">
        <f>IF(P2=1,-SourcesUses!$C$31,0)+Waterfall!P37</f>
        <v/>
      </c>
      <c r="Q5" s="12">
        <f>IF(Q2=1,-SourcesUses!$C$31,0)+Waterfall!Q37</f>
        <v/>
      </c>
      <c r="R5" s="12">
        <f>IF(R2=1,-SourcesUses!$C$31,0)+Waterfall!R37</f>
        <v/>
      </c>
      <c r="S5" s="12">
        <f>IF(S2=1,-SourcesUses!$C$31,0)+Waterfall!S37</f>
        <v/>
      </c>
      <c r="T5" s="12">
        <f>IF(T2=1,-SourcesUses!$C$31,0)+Waterfall!T37</f>
        <v/>
      </c>
      <c r="U5" s="12">
        <f>IF(U2=1,-SourcesUses!$C$31,0)+Waterfall!U37</f>
        <v/>
      </c>
      <c r="V5" s="12">
        <f>IF(V2=1,-SourcesUses!$C$31,0)+Waterfall!V37</f>
        <v/>
      </c>
      <c r="W5" s="12">
        <f>IF(W2=1,-SourcesUses!$C$31,0)+Waterfall!W37</f>
        <v/>
      </c>
      <c r="X5" s="12">
        <f>IF(X2=1,-SourcesUses!$C$31,0)+Waterfall!X37</f>
        <v/>
      </c>
      <c r="Y5" s="12">
        <f>IF(Y2=1,-SourcesUses!$C$31,0)+Waterfall!Y37</f>
        <v/>
      </c>
      <c r="Z5" s="12">
        <f>IF(Z2=1,-SourcesUses!$C$31,0)+Waterfall!Z37</f>
        <v/>
      </c>
      <c r="AA5" s="12">
        <f>IF(AA2=1,-SourcesUses!$C$31,0)+Waterfall!AA37</f>
        <v/>
      </c>
      <c r="AB5" s="12">
        <f>IF(AB2=1,-SourcesUses!$C$31,0)+Waterfall!AB37</f>
        <v/>
      </c>
      <c r="AC5" s="12">
        <f>IF(AC2=1,-SourcesUses!$C$31,0)+Waterfall!AC37</f>
        <v/>
      </c>
      <c r="AD5" s="12">
        <f>IF(AD2=1,-SourcesUses!$C$31,0)+Waterfall!AD37</f>
        <v/>
      </c>
      <c r="AE5" s="12">
        <f>IF(AE2=1,-SourcesUses!$C$31,0)+Waterfall!AE37</f>
        <v/>
      </c>
      <c r="AF5" s="12">
        <f>IF(AF2=1,-SourcesUses!$C$31,0)+Waterfall!AF37</f>
        <v/>
      </c>
      <c r="AG5" s="12">
        <f>IF(AG2=1,-SourcesUses!$C$31,0)+Waterfall!AG37</f>
        <v/>
      </c>
      <c r="AH5" s="12">
        <f>IF(AH2=1,-SourcesUses!$C$31,0)+Waterfall!AH37</f>
        <v/>
      </c>
      <c r="AI5" s="12">
        <f>IF(AI2=1,-SourcesUses!$C$31,0)+Waterfall!AI37</f>
        <v/>
      </c>
      <c r="AJ5" s="12">
        <f>IF(AJ2=1,-SourcesUses!$C$31,0)+Waterfall!AJ37</f>
        <v/>
      </c>
      <c r="AK5" s="12">
        <f>IF(AK2=1,-SourcesUses!$C$31,0)+Waterfall!AK37</f>
        <v/>
      </c>
      <c r="AL5" s="12">
        <f>IF(AL2=1,-SourcesUses!$C$31,0)+Waterfall!AL37</f>
        <v/>
      </c>
      <c r="AM5" s="12">
        <f>IF(AM2=1,-SourcesUses!$C$31,0)+Waterfall!AM37</f>
        <v/>
      </c>
      <c r="AN5" s="12">
        <f>IF(AN2=1,-SourcesUses!$C$31,0)+Waterfall!AN37</f>
        <v/>
      </c>
      <c r="AO5" s="12">
        <f>IF(AO2=1,-SourcesUses!$C$31,0)+Waterfall!AO37</f>
        <v/>
      </c>
      <c r="AP5" s="12">
        <f>IF(AP2=1,-SourcesUses!$C$31,0)+Waterfall!AP37</f>
        <v/>
      </c>
      <c r="AQ5" s="12">
        <f>IF(AQ2=1,-SourcesUses!$C$31,0)+Waterfall!AQ37</f>
        <v/>
      </c>
      <c r="AR5" s="12">
        <f>IF(AR2=1,-SourcesUses!$C$31,0)+Waterfall!AR37</f>
        <v/>
      </c>
      <c r="AS5" s="12">
        <f>IF(AS2=1,-SourcesUses!$C$31,0)+Waterfall!AS37</f>
        <v/>
      </c>
      <c r="AT5" s="12">
        <f>IF(AT2=1,-SourcesUses!$C$31,0)+Waterfall!AT37</f>
        <v/>
      </c>
      <c r="AU5" s="12">
        <f>IF(AU2=1,-SourcesUses!$C$31,0)+Waterfall!AU37</f>
        <v/>
      </c>
      <c r="AV5" s="12">
        <f>IF(AV2=1,-SourcesUses!$C$31,0)+Waterfall!AV37</f>
        <v/>
      </c>
      <c r="AW5" s="12">
        <f>IF(AW2=1,-SourcesUses!$C$31,0)+Waterfall!AW37</f>
        <v/>
      </c>
      <c r="AX5" s="12">
        <f>IF(AX2=1,-SourcesUses!$C$31,0)+Waterfall!AX37</f>
        <v/>
      </c>
      <c r="AY5" s="12">
        <f>IF(AY2=1,-SourcesUses!$C$31,0)+Waterfall!AY37</f>
        <v/>
      </c>
      <c r="AZ5" s="12">
        <f>IF(AZ2=1,-SourcesUses!$C$31,0)+Waterfall!AZ37</f>
        <v/>
      </c>
      <c r="BA5" s="12">
        <f>IF(BA2=1,-SourcesUses!$C$31,0)+Waterfall!BA37</f>
        <v/>
      </c>
      <c r="BB5" s="12">
        <f>IF(BB2=1,-SourcesUses!$C$31,0)+Waterfall!BB37</f>
        <v/>
      </c>
      <c r="BC5" s="12">
        <f>IF(BC2=1,-SourcesUses!$C$31,0)+Waterfall!BC37</f>
        <v/>
      </c>
      <c r="BD5" s="12">
        <f>IF(BD2=1,-SourcesUses!$C$31,0)+Waterfall!BD37</f>
        <v/>
      </c>
      <c r="BE5" s="12">
        <f>IF(BE2=1,-SourcesUses!$C$31,0)+Waterfall!BE37</f>
        <v/>
      </c>
      <c r="BF5" s="12">
        <f>IF(BF2=1,-SourcesUses!$C$31,0)+Waterfall!BF37</f>
        <v/>
      </c>
      <c r="BG5" s="12">
        <f>IF(BG2=1,-SourcesUses!$C$31,0)+Waterfall!BG37</f>
        <v/>
      </c>
      <c r="BH5" s="12">
        <f>IF(BH2=1,-SourcesUses!$C$31,0)+Waterfall!BH37</f>
        <v/>
      </c>
      <c r="BI5" s="12">
        <f>IF(BI2=1,-SourcesUses!$C$31,0)+Waterfall!BI37</f>
        <v/>
      </c>
      <c r="BJ5" s="12">
        <f>IF(BJ2=1,-SourcesUses!$C$31,0)+Waterfall!BJ37</f>
        <v/>
      </c>
      <c r="BK5" s="12">
        <f>IF(BK2=1,-SourcesUses!$C$31,0)+Waterfall!BK37</f>
        <v/>
      </c>
      <c r="BL5" s="12">
        <f>IF(BL2=1,-SourcesUses!$C$31,0)+Waterfall!BL37</f>
        <v/>
      </c>
      <c r="BM5" s="12">
        <f>IF(BM2=1,-SourcesUses!$C$31,0)+Waterfall!BM37</f>
        <v/>
      </c>
      <c r="BN5" s="12">
        <f>IF(BN2=1,-SourcesUses!$C$31,0)+Waterfall!BN37</f>
        <v/>
      </c>
      <c r="BO5" s="12">
        <f>IF(BO2=1,-SourcesUses!$C$31,0)+Waterfall!BO37</f>
        <v/>
      </c>
      <c r="BP5" s="12">
        <f>IF(BP2=1,-SourcesUses!$C$31,0)+Waterfall!BP37</f>
        <v/>
      </c>
      <c r="BQ5" s="12">
        <f>IF(BQ2=1,-SourcesUses!$C$31,0)+Waterfall!BQ37</f>
        <v/>
      </c>
      <c r="BR5" s="12">
        <f>IF(BR2=1,-SourcesUses!$C$31,0)+Waterfall!BR37</f>
        <v/>
      </c>
      <c r="BS5" s="12">
        <f>IF(BS2=1,-SourcesUses!$C$31,0)+Waterfall!BS37</f>
        <v/>
      </c>
      <c r="BT5" s="12">
        <f>IF(BT2=1,-SourcesUses!$C$31,0)+Waterfall!BT37</f>
        <v/>
      </c>
      <c r="BU5" s="12">
        <f>IF(BU2=1,-SourcesUses!$C$31,0)+Waterfall!BU37</f>
        <v/>
      </c>
      <c r="BV5" s="12">
        <f>IF(BV2=1,-SourcesUses!$C$31,0)+Waterfall!BV37</f>
        <v/>
      </c>
      <c r="BW5" s="12">
        <f>IF(BW2=1,-SourcesUses!$C$31,0)+Waterfall!BW37</f>
        <v/>
      </c>
      <c r="BX5" s="12">
        <f>IF(BX2=1,-SourcesUses!$C$31,0)+Waterfall!BX37</f>
        <v/>
      </c>
      <c r="BY5" s="12">
        <f>IF(BY2=1,-SourcesUses!$C$31,0)+Waterfall!BY37</f>
        <v/>
      </c>
      <c r="BZ5" s="12">
        <f>IF(BZ2=1,-SourcesUses!$C$31,0)+Waterfall!BZ37</f>
        <v/>
      </c>
      <c r="CA5" s="12">
        <f>IF(CA2=1,-SourcesUses!$C$31,0)+Waterfall!CA37</f>
        <v/>
      </c>
      <c r="CB5" s="12">
        <f>IF(CB2=1,-SourcesUses!$C$31,0)+Waterfall!CB37</f>
        <v/>
      </c>
      <c r="CC5" s="12">
        <f>IF(CC2=1,-SourcesUses!$C$31,0)+Waterfall!CC37</f>
        <v/>
      </c>
      <c r="CD5" s="12">
        <f>IF(CD2=1,-SourcesUses!$C$31,0)+Waterfall!CD37</f>
        <v/>
      </c>
      <c r="CE5" s="12">
        <f>IF(CE2=1,-SourcesUses!$C$31,0)+Waterfall!CE37</f>
        <v/>
      </c>
      <c r="CF5" s="12">
        <f>IF(CF2=1,-SourcesUses!$C$31,0)+Waterfall!CF37</f>
        <v/>
      </c>
      <c r="CG5" s="12">
        <f>IF(CG2=1,-SourcesUses!$C$31,0)+Waterfall!CG37</f>
        <v/>
      </c>
      <c r="CH5" s="12">
        <f>IF(CH2=1,-SourcesUses!$C$31,0)+Waterfall!CH37</f>
        <v/>
      </c>
    </row>
    <row r="6">
      <c r="A6" s="3" t="inlineStr">
        <is>
          <t>GP cash flow</t>
        </is>
      </c>
      <c r="B6" s="4" t="inlineStr">
        <is>
          <t>$</t>
        </is>
      </c>
      <c r="C6" s="12">
        <f>IF(C2=1,-SourcesUses!$C$30,0)+Waterfall!C38</f>
        <v/>
      </c>
      <c r="D6" s="12">
        <f>IF(D2=1,-SourcesUses!$C$30,0)+Waterfall!D38</f>
        <v/>
      </c>
      <c r="E6" s="12">
        <f>IF(E2=1,-SourcesUses!$C$30,0)+Waterfall!E38</f>
        <v/>
      </c>
      <c r="F6" s="12">
        <f>IF(F2=1,-SourcesUses!$C$30,0)+Waterfall!F38</f>
        <v/>
      </c>
      <c r="G6" s="12">
        <f>IF(G2=1,-SourcesUses!$C$30,0)+Waterfall!G38</f>
        <v/>
      </c>
      <c r="H6" s="12">
        <f>IF(H2=1,-SourcesUses!$C$30,0)+Waterfall!H38</f>
        <v/>
      </c>
      <c r="I6" s="12">
        <f>IF(I2=1,-SourcesUses!$C$30,0)+Waterfall!I38</f>
        <v/>
      </c>
      <c r="J6" s="12">
        <f>IF(J2=1,-SourcesUses!$C$30,0)+Waterfall!J38</f>
        <v/>
      </c>
      <c r="K6" s="12">
        <f>IF(K2=1,-SourcesUses!$C$30,0)+Waterfall!K38</f>
        <v/>
      </c>
      <c r="L6" s="12">
        <f>IF(L2=1,-SourcesUses!$C$30,0)+Waterfall!L38</f>
        <v/>
      </c>
      <c r="M6" s="12">
        <f>IF(M2=1,-SourcesUses!$C$30,0)+Waterfall!M38</f>
        <v/>
      </c>
      <c r="N6" s="12">
        <f>IF(N2=1,-SourcesUses!$C$30,0)+Waterfall!N38</f>
        <v/>
      </c>
      <c r="O6" s="12">
        <f>IF(O2=1,-SourcesUses!$C$30,0)+Waterfall!O38</f>
        <v/>
      </c>
      <c r="P6" s="12">
        <f>IF(P2=1,-SourcesUses!$C$30,0)+Waterfall!P38</f>
        <v/>
      </c>
      <c r="Q6" s="12">
        <f>IF(Q2=1,-SourcesUses!$C$30,0)+Waterfall!Q38</f>
        <v/>
      </c>
      <c r="R6" s="12">
        <f>IF(R2=1,-SourcesUses!$C$30,0)+Waterfall!R38</f>
        <v/>
      </c>
      <c r="S6" s="12">
        <f>IF(S2=1,-SourcesUses!$C$30,0)+Waterfall!S38</f>
        <v/>
      </c>
      <c r="T6" s="12">
        <f>IF(T2=1,-SourcesUses!$C$30,0)+Waterfall!T38</f>
        <v/>
      </c>
      <c r="U6" s="12">
        <f>IF(U2=1,-SourcesUses!$C$30,0)+Waterfall!U38</f>
        <v/>
      </c>
      <c r="V6" s="12">
        <f>IF(V2=1,-SourcesUses!$C$30,0)+Waterfall!V38</f>
        <v/>
      </c>
      <c r="W6" s="12">
        <f>IF(W2=1,-SourcesUses!$C$30,0)+Waterfall!W38</f>
        <v/>
      </c>
      <c r="X6" s="12">
        <f>IF(X2=1,-SourcesUses!$C$30,0)+Waterfall!X38</f>
        <v/>
      </c>
      <c r="Y6" s="12">
        <f>IF(Y2=1,-SourcesUses!$C$30,0)+Waterfall!Y38</f>
        <v/>
      </c>
      <c r="Z6" s="12">
        <f>IF(Z2=1,-SourcesUses!$C$30,0)+Waterfall!Z38</f>
        <v/>
      </c>
      <c r="AA6" s="12">
        <f>IF(AA2=1,-SourcesUses!$C$30,0)+Waterfall!AA38</f>
        <v/>
      </c>
      <c r="AB6" s="12">
        <f>IF(AB2=1,-SourcesUses!$C$30,0)+Waterfall!AB38</f>
        <v/>
      </c>
      <c r="AC6" s="12">
        <f>IF(AC2=1,-SourcesUses!$C$30,0)+Waterfall!AC38</f>
        <v/>
      </c>
      <c r="AD6" s="12">
        <f>IF(AD2=1,-SourcesUses!$C$30,0)+Waterfall!AD38</f>
        <v/>
      </c>
      <c r="AE6" s="12">
        <f>IF(AE2=1,-SourcesUses!$C$30,0)+Waterfall!AE38</f>
        <v/>
      </c>
      <c r="AF6" s="12">
        <f>IF(AF2=1,-SourcesUses!$C$30,0)+Waterfall!AF38</f>
        <v/>
      </c>
      <c r="AG6" s="12">
        <f>IF(AG2=1,-SourcesUses!$C$30,0)+Waterfall!AG38</f>
        <v/>
      </c>
      <c r="AH6" s="12">
        <f>IF(AH2=1,-SourcesUses!$C$30,0)+Waterfall!AH38</f>
        <v/>
      </c>
      <c r="AI6" s="12">
        <f>IF(AI2=1,-SourcesUses!$C$30,0)+Waterfall!AI38</f>
        <v/>
      </c>
      <c r="AJ6" s="12">
        <f>IF(AJ2=1,-SourcesUses!$C$30,0)+Waterfall!AJ38</f>
        <v/>
      </c>
      <c r="AK6" s="12">
        <f>IF(AK2=1,-SourcesUses!$C$30,0)+Waterfall!AK38</f>
        <v/>
      </c>
      <c r="AL6" s="12">
        <f>IF(AL2=1,-SourcesUses!$C$30,0)+Waterfall!AL38</f>
        <v/>
      </c>
      <c r="AM6" s="12">
        <f>IF(AM2=1,-SourcesUses!$C$30,0)+Waterfall!AM38</f>
        <v/>
      </c>
      <c r="AN6" s="12">
        <f>IF(AN2=1,-SourcesUses!$C$30,0)+Waterfall!AN38</f>
        <v/>
      </c>
      <c r="AO6" s="12">
        <f>IF(AO2=1,-SourcesUses!$C$30,0)+Waterfall!AO38</f>
        <v/>
      </c>
      <c r="AP6" s="12">
        <f>IF(AP2=1,-SourcesUses!$C$30,0)+Waterfall!AP38</f>
        <v/>
      </c>
      <c r="AQ6" s="12">
        <f>IF(AQ2=1,-SourcesUses!$C$30,0)+Waterfall!AQ38</f>
        <v/>
      </c>
      <c r="AR6" s="12">
        <f>IF(AR2=1,-SourcesUses!$C$30,0)+Waterfall!AR38</f>
        <v/>
      </c>
      <c r="AS6" s="12">
        <f>IF(AS2=1,-SourcesUses!$C$30,0)+Waterfall!AS38</f>
        <v/>
      </c>
      <c r="AT6" s="12">
        <f>IF(AT2=1,-SourcesUses!$C$30,0)+Waterfall!AT38</f>
        <v/>
      </c>
      <c r="AU6" s="12">
        <f>IF(AU2=1,-SourcesUses!$C$30,0)+Waterfall!AU38</f>
        <v/>
      </c>
      <c r="AV6" s="12">
        <f>IF(AV2=1,-SourcesUses!$C$30,0)+Waterfall!AV38</f>
        <v/>
      </c>
      <c r="AW6" s="12">
        <f>IF(AW2=1,-SourcesUses!$C$30,0)+Waterfall!AW38</f>
        <v/>
      </c>
      <c r="AX6" s="12">
        <f>IF(AX2=1,-SourcesUses!$C$30,0)+Waterfall!AX38</f>
        <v/>
      </c>
      <c r="AY6" s="12">
        <f>IF(AY2=1,-SourcesUses!$C$30,0)+Waterfall!AY38</f>
        <v/>
      </c>
      <c r="AZ6" s="12">
        <f>IF(AZ2=1,-SourcesUses!$C$30,0)+Waterfall!AZ38</f>
        <v/>
      </c>
      <c r="BA6" s="12">
        <f>IF(BA2=1,-SourcesUses!$C$30,0)+Waterfall!BA38</f>
        <v/>
      </c>
      <c r="BB6" s="12">
        <f>IF(BB2=1,-SourcesUses!$C$30,0)+Waterfall!BB38</f>
        <v/>
      </c>
      <c r="BC6" s="12">
        <f>IF(BC2=1,-SourcesUses!$C$30,0)+Waterfall!BC38</f>
        <v/>
      </c>
      <c r="BD6" s="12">
        <f>IF(BD2=1,-SourcesUses!$C$30,0)+Waterfall!BD38</f>
        <v/>
      </c>
      <c r="BE6" s="12">
        <f>IF(BE2=1,-SourcesUses!$C$30,0)+Waterfall!BE38</f>
        <v/>
      </c>
      <c r="BF6" s="12">
        <f>IF(BF2=1,-SourcesUses!$C$30,0)+Waterfall!BF38</f>
        <v/>
      </c>
      <c r="BG6" s="12">
        <f>IF(BG2=1,-SourcesUses!$C$30,0)+Waterfall!BG38</f>
        <v/>
      </c>
      <c r="BH6" s="12">
        <f>IF(BH2=1,-SourcesUses!$C$30,0)+Waterfall!BH38</f>
        <v/>
      </c>
      <c r="BI6" s="12">
        <f>IF(BI2=1,-SourcesUses!$C$30,0)+Waterfall!BI38</f>
        <v/>
      </c>
      <c r="BJ6" s="12">
        <f>IF(BJ2=1,-SourcesUses!$C$30,0)+Waterfall!BJ38</f>
        <v/>
      </c>
      <c r="BK6" s="12">
        <f>IF(BK2=1,-SourcesUses!$C$30,0)+Waterfall!BK38</f>
        <v/>
      </c>
      <c r="BL6" s="12">
        <f>IF(BL2=1,-SourcesUses!$C$30,0)+Waterfall!BL38</f>
        <v/>
      </c>
      <c r="BM6" s="12">
        <f>IF(BM2=1,-SourcesUses!$C$30,0)+Waterfall!BM38</f>
        <v/>
      </c>
      <c r="BN6" s="12">
        <f>IF(BN2=1,-SourcesUses!$C$30,0)+Waterfall!BN38</f>
        <v/>
      </c>
      <c r="BO6" s="12">
        <f>IF(BO2=1,-SourcesUses!$C$30,0)+Waterfall!BO38</f>
        <v/>
      </c>
      <c r="BP6" s="12">
        <f>IF(BP2=1,-SourcesUses!$C$30,0)+Waterfall!BP38</f>
        <v/>
      </c>
      <c r="BQ6" s="12">
        <f>IF(BQ2=1,-SourcesUses!$C$30,0)+Waterfall!BQ38</f>
        <v/>
      </c>
      <c r="BR6" s="12">
        <f>IF(BR2=1,-SourcesUses!$C$30,0)+Waterfall!BR38</f>
        <v/>
      </c>
      <c r="BS6" s="12">
        <f>IF(BS2=1,-SourcesUses!$C$30,0)+Waterfall!BS38</f>
        <v/>
      </c>
      <c r="BT6" s="12">
        <f>IF(BT2=1,-SourcesUses!$C$30,0)+Waterfall!BT38</f>
        <v/>
      </c>
      <c r="BU6" s="12">
        <f>IF(BU2=1,-SourcesUses!$C$30,0)+Waterfall!BU38</f>
        <v/>
      </c>
      <c r="BV6" s="12">
        <f>IF(BV2=1,-SourcesUses!$C$30,0)+Waterfall!BV38</f>
        <v/>
      </c>
      <c r="BW6" s="12">
        <f>IF(BW2=1,-SourcesUses!$C$30,0)+Waterfall!BW38</f>
        <v/>
      </c>
      <c r="BX6" s="12">
        <f>IF(BX2=1,-SourcesUses!$C$30,0)+Waterfall!BX38</f>
        <v/>
      </c>
      <c r="BY6" s="12">
        <f>IF(BY2=1,-SourcesUses!$C$30,0)+Waterfall!BY38</f>
        <v/>
      </c>
      <c r="BZ6" s="12">
        <f>IF(BZ2=1,-SourcesUses!$C$30,0)+Waterfall!BZ38</f>
        <v/>
      </c>
      <c r="CA6" s="12">
        <f>IF(CA2=1,-SourcesUses!$C$30,0)+Waterfall!CA38</f>
        <v/>
      </c>
      <c r="CB6" s="12">
        <f>IF(CB2=1,-SourcesUses!$C$30,0)+Waterfall!CB38</f>
        <v/>
      </c>
      <c r="CC6" s="12">
        <f>IF(CC2=1,-SourcesUses!$C$30,0)+Waterfall!CC38</f>
        <v/>
      </c>
      <c r="CD6" s="12">
        <f>IF(CD2=1,-SourcesUses!$C$30,0)+Waterfall!CD38</f>
        <v/>
      </c>
      <c r="CE6" s="12">
        <f>IF(CE2=1,-SourcesUses!$C$30,0)+Waterfall!CE38</f>
        <v/>
      </c>
      <c r="CF6" s="12">
        <f>IF(CF2=1,-SourcesUses!$C$30,0)+Waterfall!CF38</f>
        <v/>
      </c>
      <c r="CG6" s="12">
        <f>IF(CG2=1,-SourcesUses!$C$30,0)+Waterfall!CG38</f>
        <v/>
      </c>
      <c r="CH6" s="12">
        <f>IF(CH2=1,-SourcesUses!$C$30,0)+Waterfall!CH38</f>
        <v/>
      </c>
    </row>
    <row r="8">
      <c r="A8" s="3" t="inlineStr">
        <is>
          <t>Project XIRR</t>
        </is>
      </c>
      <c r="B8" s="4" t="inlineStr">
        <is>
          <t>%</t>
        </is>
      </c>
      <c r="C8" s="13">
        <f>XIRR(C4:CH4,C3:CH3)</f>
        <v/>
      </c>
      <c r="D8" s="4" t="inlineStr">
        <is>
          <t>XIRR is an output only. It does not trigger a tier.</t>
        </is>
      </c>
    </row>
    <row r="9">
      <c r="A9" s="3" t="inlineStr">
        <is>
          <t>LP XIRR</t>
        </is>
      </c>
      <c r="B9" s="4" t="inlineStr">
        <is>
          <t>%</t>
        </is>
      </c>
      <c r="C9" s="13">
        <f>XIRR(C5:CH5,C3:CH3)</f>
        <v/>
      </c>
    </row>
    <row r="10">
      <c r="A10" s="3" t="inlineStr">
        <is>
          <t>GP XIRR</t>
        </is>
      </c>
      <c r="B10" s="4" t="inlineStr">
        <is>
          <t>%</t>
        </is>
      </c>
      <c r="C10" s="13">
        <f>XIRR(C6:CH6,C3:CH3)</f>
        <v/>
      </c>
    </row>
    <row r="12">
      <c r="A12" s="3" t="inlineStr">
        <is>
          <t>Project equity multiple</t>
        </is>
      </c>
      <c r="B12" s="4" t="inlineStr">
        <is>
          <t>x</t>
        </is>
      </c>
      <c r="C12" s="14">
        <f>SUM(ProjectCF!C12:CH12)/SourcesUses!$C$28</f>
        <v/>
      </c>
    </row>
    <row r="13">
      <c r="A13" s="3" t="inlineStr">
        <is>
          <t>LP equity multiple</t>
        </is>
      </c>
      <c r="B13" s="4" t="inlineStr">
        <is>
          <t>x</t>
        </is>
      </c>
      <c r="C13" s="14">
        <f>IF(SourcesUses!$C$31=0,0,SUM(Waterfall!C37:CH37)/SourcesUses!$C$31)</f>
        <v/>
      </c>
    </row>
    <row r="14">
      <c r="A14" s="3" t="inlineStr">
        <is>
          <t>GP equity multiple</t>
        </is>
      </c>
      <c r="B14" s="4" t="inlineStr">
        <is>
          <t>x</t>
        </is>
      </c>
      <c r="C14" s="14">
        <f>IF(SourcesUses!$C$30=0,0,SUM(Waterfall!C38:CH38)/SourcesUses!$C$30)</f>
        <v/>
      </c>
    </row>
    <row r="16">
      <c r="A16" s="3" t="inlineStr">
        <is>
          <t>LP distributions</t>
        </is>
      </c>
      <c r="B16" s="4" t="inlineStr">
        <is>
          <t>$</t>
        </is>
      </c>
      <c r="C16" s="12">
        <f>SUM(Waterfall!C37:CH37)</f>
        <v/>
      </c>
    </row>
    <row r="17">
      <c r="A17" s="3" t="inlineStr">
        <is>
          <t>GP distributions</t>
        </is>
      </c>
      <c r="B17" s="4" t="inlineStr">
        <is>
          <t>$</t>
        </is>
      </c>
      <c r="C17" s="12">
        <f>SUM(Waterfall!C38:CH38)</f>
        <v/>
      </c>
    </row>
    <row r="18">
      <c r="A18" s="3" t="inlineStr">
        <is>
          <t>Promote $</t>
        </is>
      </c>
      <c r="B18" s="4" t="inlineStr">
        <is>
          <t>$</t>
        </is>
      </c>
      <c r="C18" s="12">
        <f>C17-SourcesUses!$C$30</f>
        <v/>
      </c>
      <c r="D18" s="4" t="inlineStr">
        <is>
          <t>GP distributions minus GP contributed capital. GP capital is not a separate waterfall tier.</t>
        </is>
      </c>
    </row>
  </sheetData>
  <autoFilter ref="A2:CH2"/>
  <pageMargins left="0.4" right="0.4" top="0.6" bottom="0.5" header="0.25" footer="0.25"/>
  <pageSetup orientation="landscape" paperSize="3" scale="55" fitToHeight="0" fitToWidth="1"/>
  <headerFooter>
    <oddHeader>&amp;LElite Luxury Mixed-Use  |  Illustrative template&amp;CReturns</oddHeader>
    <oddFooter>&amp;LNot a live deal  |  Not an offering  |  Not investment advice&amp;RPage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18"/>
  <sheetViews>
    <sheetView view="pageBreakPreview" zoomScale="110" workbookViewId="0">
      <selection activeCell="A1" sqref="A1"/>
    </sheetView>
  </sheetViews>
  <sheetFormatPr baseColWidth="8" defaultRowHeight="15"/>
  <cols>
    <col width="42" customWidth="1" min="1" max="1"/>
    <col width="88" customWidth="1" min="2" max="2"/>
    <col width="14" customWidth="1" min="3" max="3"/>
  </cols>
  <sheetData>
    <row r="1" ht="22" customHeight="1">
      <c r="A1" s="1" t="inlineStr">
        <is>
          <t>Checks</t>
        </is>
      </c>
    </row>
    <row r="2">
      <c r="A2" s="3" t="inlineStr">
        <is>
          <t>ID</t>
        </is>
      </c>
      <c r="B2" s="3" t="inlineStr">
        <is>
          <t>Identity</t>
        </is>
      </c>
      <c r="C2" s="3" t="inlineStr">
        <is>
          <t>Result</t>
        </is>
      </c>
    </row>
    <row r="3">
      <c r="A3" s="3" t="inlineStr">
        <is>
          <t>MASTER</t>
        </is>
      </c>
      <c r="B3" t="inlineStr">
        <is>
          <t>All checks</t>
        </is>
      </c>
      <c r="C3" s="3">
        <f>AND(C5,C6,C7,C8,C9,C10,C11,C12,C13,C14,C15,C16)</f>
        <v/>
      </c>
    </row>
    <row r="5">
      <c r="A5" s="3" t="inlineStr">
        <is>
          <t>C1</t>
        </is>
      </c>
      <c r="B5" s="4" t="inlineStr">
        <is>
          <t>Sources equal uses, and the uses component sum ties, within $1</t>
        </is>
      </c>
      <c r="C5" s="4">
        <f>AND(ABS(SourcesUses!C33)&lt;=1,ABS(SourcesUses!C25)&lt;=1)</f>
        <v/>
      </c>
    </row>
    <row r="6">
      <c r="A6" s="3" t="inlineStr">
        <is>
          <t>C2</t>
        </is>
      </c>
      <c r="B6" s="4" t="inlineStr">
        <is>
          <t>Every month, construction interest equals opening balance times (MAX(floor, SOFR)+spread)/12, within $0.01</t>
        </is>
      </c>
      <c r="C6" s="4">
        <f>MAX(ConstructionDebt!C23:CH23)&lt;=0.01</f>
        <v/>
      </c>
    </row>
    <row r="7">
      <c r="A7" s="3" t="inlineStr">
        <is>
          <t>C3</t>
        </is>
      </c>
      <c r="B7" s="4" t="inlineStr">
        <is>
          <t>Every month, construction opening and closing balances are between 0 and commitment, within $1</t>
        </is>
      </c>
      <c r="C7" s="4">
        <f>AND(MIN(ConstructionDebt!C12:CH12)&gt;=-1,MIN(ConstructionDebt!C21:CH21)&gt;=-1,MAX(ConstructionDebt!C12:CH12)&lt;=SourcesUses!C22+1,MAX(ConstructionDebt!C21:CH21)&lt;=SourcesUses!C22+1)</f>
        <v/>
      </c>
    </row>
    <row r="8">
      <c r="A8" s="3" t="inlineStr">
        <is>
          <t>C4</t>
        </is>
      </c>
      <c r="B8" s="4" t="inlineStr">
        <is>
          <t>Permanent proceeds equal MIN(LTV size, DSCR size, debt-yield size), within $1</t>
        </is>
      </c>
      <c r="C8" s="4">
        <f>ABS(PermanentDebt!C39-MIN(PermanentDebt!C35,PermanentDebt!C37,PermanentDebt!C38))&lt;=1</f>
        <v/>
      </c>
    </row>
    <row r="9">
      <c r="A9" s="3" t="inlineStr">
        <is>
          <t>C5</t>
        </is>
      </c>
      <c r="B9" s="4" t="inlineStr">
        <is>
          <t>Closings by type equal inventory, and gross sellout equals unit prices plus parking plus storage, within $1</t>
        </is>
      </c>
      <c r="C9" s="4">
        <f>AND(ABS(SUM(CondoSellout!C4:CH4)-UNITS_STUDIO)&lt;=1,ABS(SUM(CondoSellout!C5:CH5)-UNITS_1BR)&lt;=1,ABS(SUM(CondoSellout!C6:CH6)-UNITS_2BR)&lt;=1,ABS(SUM(CondoSellout!C7:CH7)-UNITS_3BR)&lt;=1,ABS(SUM(CondoSellout!C8:CH8)-UNITS_PH)&lt;=1,ABS(SUM(CondoSellout!C15:CH15)-(UNITS_STUDIO*SQFT_STUDIO*PPSF_STUDIO+UNITS_1BR*SQFT_1BR*PPSF_1BR+UNITS_2BR*SQFT_2BR*PPSF_2BR+UNITS_3BR*SQFT_3BR*PPSF_3BR+UNITS_PH*SQFT_PH*PPSF_PH+PARKING_SPACES*PARKING_PRICE+STORAGE_UNITS*STORAGE_PRICE))&lt;=1)</f>
        <v/>
      </c>
    </row>
    <row r="10">
      <c r="A10" s="3" t="inlineStr">
        <is>
          <t>C6</t>
        </is>
      </c>
      <c r="B10" s="4" t="inlineStr">
        <is>
          <t>Hotel value equals exit T12 NOI over hotel cap, and retail value equals exit T12 NOI over retail cap, within $1</t>
        </is>
      </c>
      <c r="C10" s="4">
        <f>AND(ABS(HotelValuation!C7-HotelValuation!C6/HOTEL_CAP)&lt;=1,ABS(RetailValuation!C7-RetailValuation!C6/RETAIL_CAP)&lt;=1)</f>
        <v/>
      </c>
    </row>
    <row r="11">
      <c r="A11" s="3" t="inlineStr">
        <is>
          <t>C7</t>
        </is>
      </c>
      <c r="B11" s="4" t="inlineStr">
        <is>
          <t>Every month, tier distributions equal distributable cash within $0.01, and retained cash at exit is 0</t>
        </is>
      </c>
      <c r="C11" s="4">
        <f>AND(MAX(Waterfall!C40:CH40)&lt;=0.01,ABS(INDEX(ProjectCF!C18:CH18,EXIT_M))&lt;=0.01)</f>
        <v/>
      </c>
    </row>
    <row r="12">
      <c r="A12" s="3" t="inlineStr">
        <is>
          <t>C8</t>
        </is>
      </c>
      <c r="B12" s="4" t="inlineStr">
        <is>
          <t>No tier 2 before tier 1 is paid, no tier 3 before tier 2 is complete, no tier 4 before the tier 3 gate</t>
        </is>
      </c>
      <c r="C12" s="4">
        <f>AND(SUM(Waterfall!C41:CH41)=0,SUM(Waterfall!C42:CH42)=0,SUM(Waterfall!C43:CH43)=0)</f>
        <v/>
      </c>
    </row>
    <row r="13">
      <c r="A13" s="3" t="inlineStr">
        <is>
          <t>C9</t>
        </is>
      </c>
      <c r="B13" s="4" t="inlineStr">
        <is>
          <t>Equity contributions equal the equity requirement, within $1</t>
        </is>
      </c>
      <c r="C13" s="4">
        <f>ABS(SUM(ConstructionDebt!C8:CH8)-SourcesUses!C28)&lt;=1</f>
        <v/>
      </c>
    </row>
    <row r="14">
      <c r="A14" s="3" t="inlineStr">
        <is>
          <t>C10</t>
        </is>
      </c>
      <c r="B14" s="4" t="inlineStr">
        <is>
          <t>Construction opening balance equals the prior opening balance plus draws minus repayments</t>
        </is>
      </c>
      <c r="C14" s="4">
        <f>MAX(ConstructionDebt!C24:CH24)&lt;=0.01</f>
        <v/>
      </c>
    </row>
    <row r="15">
      <c r="A15" s="3" t="inlineStr">
        <is>
          <t>C11</t>
        </is>
      </c>
      <c r="B15" s="4" t="inlineStr">
        <is>
          <t>Key calculated outputs are numbers, so those cells are not #REF!, #NAME?, #VALUE!, or #CYCLE!</t>
        </is>
      </c>
      <c r="C15" s="4">
        <f>AND(ISNUMBER(SourcesUses!C21),ISNUMBER(SourcesUses!C22),ISNUMBER(SourcesUses!C28),ISNUMBER(PermanentDebt!C39),ISNUMBER(HotelValuation!C7),ISNUMBER(RetailValuation!C7),ISNUMBER(SUM(ProjectCF!C12:CH12)),ISNUMBER(SUM(Waterfall!C9:CH9)))</f>
        <v/>
      </c>
    </row>
    <row r="16">
      <c r="A16" s="3" t="inlineStr">
        <is>
          <t>C12</t>
        </is>
      </c>
      <c r="B16" s="4" t="inlineStr">
        <is>
          <t>Every SOFR source cell carries the ASSUMPTION placeholder label</t>
        </is>
      </c>
      <c r="C16" s="4">
        <f>COUNTIF(SOFR!D2:D85,"ASSUMPTION — placeholder forward; not a live Chatham quote. Paste Chatham forwards here.")=84</f>
        <v/>
      </c>
    </row>
    <row r="18">
      <c r="A18" s="4" t="inlineStr">
        <is>
          <t>Tolerances are $1 for balance and level checks and $0.01 for monthly flow checks.</t>
        </is>
      </c>
    </row>
  </sheetData>
  <pageMargins left="0.4" right="0.4" top="0.6" bottom="0.5" header="0.25" footer="0.25"/>
  <pageSetup orientation="landscape" paperSize="3" fitToHeight="0" fitToWidth="1"/>
  <headerFooter>
    <oddHeader>&amp;LElite Luxury Mixed-Use  |  Illustrative template</oddHeader>
    <oddFooter>&amp;LNot a live deal  |  Not an offering  |  Not investment advice&amp;RPage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2026-09-25T23:46:56Z</dcterms:created>
  <dcterms:modified xsi:type="dcterms:W3CDTF">2026-09-25T23:46:56Z</dcterms:modified>
</cp:coreProperties>
</file>